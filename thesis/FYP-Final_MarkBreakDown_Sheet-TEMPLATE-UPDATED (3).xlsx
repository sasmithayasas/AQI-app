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gugsi/Downloads/"/>
    </mc:Choice>
  </mc:AlternateContent>
  <xr:revisionPtr revIDLastSave="0" documentId="13_ncr:1_{2B91360D-F695-1D41-A477-9D339F22AEA5}" xr6:coauthVersionLast="47" xr6:coauthVersionMax="47" xr10:uidLastSave="{00000000-0000-0000-0000-000000000000}"/>
  <bookViews>
    <workbookView xWindow="0" yWindow="700" windowWidth="27040" windowHeight="15320" activeTab="3" xr2:uid="{DBAC3761-27B7-457F-B36B-259192A045F7}"/>
  </bookViews>
  <sheets>
    <sheet name="Proposal" sheetId="2" r:id="rId1"/>
    <sheet name="MPR" sheetId="1" r:id="rId2"/>
    <sheet name="Report" sheetId="3" r:id="rId3"/>
    <sheet name="Presentation" sheetId="4" r:id="rId4"/>
    <sheet name="Reconcile"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4" l="1"/>
  <c r="I9" i="4"/>
  <c r="I8" i="4"/>
  <c r="I7" i="4"/>
  <c r="I6" i="4"/>
  <c r="I5" i="4"/>
  <c r="I4" i="4"/>
  <c r="I12" i="3"/>
  <c r="I11" i="3"/>
  <c r="I9" i="3"/>
  <c r="I7" i="3"/>
  <c r="I6" i="3"/>
  <c r="I10" i="3"/>
  <c r="I8" i="3"/>
  <c r="I5" i="3"/>
  <c r="I4" i="3"/>
  <c r="I11" i="1"/>
  <c r="I10" i="1"/>
  <c r="I8" i="1"/>
  <c r="I9" i="1"/>
  <c r="I6" i="1"/>
  <c r="I7" i="1"/>
  <c r="I5" i="1"/>
  <c r="I4" i="1"/>
  <c r="I7" i="2"/>
  <c r="I6" i="2"/>
  <c r="I5" i="2"/>
  <c r="I4" i="2"/>
  <c r="I11" i="2" s="1"/>
  <c r="I8" i="2"/>
  <c r="I9" i="2"/>
  <c r="I10" i="2"/>
  <c r="F5" i="5"/>
  <c r="E5" i="5"/>
  <c r="D5" i="5"/>
  <c r="F3" i="5"/>
  <c r="E3" i="5"/>
  <c r="C3" i="5"/>
  <c r="C5" i="5" s="1"/>
  <c r="G2" i="5"/>
  <c r="G4" i="5"/>
  <c r="G5" i="5" l="1"/>
  <c r="G3" i="5"/>
  <c r="H2" i="5" l="1"/>
  <c r="I2" i="5"/>
  <c r="J2" i="5" l="1"/>
</calcChain>
</file>

<file path=xl/sharedStrings.xml><?xml version="1.0" encoding="utf-8"?>
<sst xmlns="http://schemas.openxmlformats.org/spreadsheetml/2006/main" count="138" uniqueCount="94">
  <si>
    <t>Criteria</t>
  </si>
  <si>
    <t>Weighting %</t>
  </si>
  <si>
    <t>Your mark as %</t>
  </si>
  <si>
    <t>Value for rubric %</t>
  </si>
  <si>
    <t>Fail</t>
  </si>
  <si>
    <t>3rd</t>
  </si>
  <si>
    <t>1st</t>
  </si>
  <si>
    <t>0 - 39</t>
  </si>
  <si>
    <t>40 - 49</t>
  </si>
  <si>
    <t>50 - 59</t>
  </si>
  <si>
    <t>60 - 69</t>
  </si>
  <si>
    <t>70 - 100</t>
  </si>
  <si>
    <t>Total</t>
  </si>
  <si>
    <t>Total contribution from the proposal to the final score is 5%</t>
  </si>
  <si>
    <t>Total contribution from the MPR to the final score is 15%</t>
  </si>
  <si>
    <t>Total contribution from the report to the final score is 60%</t>
  </si>
  <si>
    <t>Total contribution from the presentation to the final score is 20%</t>
  </si>
  <si>
    <t>Assessors</t>
  </si>
  <si>
    <t>Proposal (5%)</t>
  </si>
  <si>
    <t>MPR (15%)</t>
  </si>
  <si>
    <t>Report (60%)</t>
  </si>
  <si>
    <t>Presentation (20%)</t>
  </si>
  <si>
    <t>Lower</t>
  </si>
  <si>
    <t>Upper</t>
  </si>
  <si>
    <t>Average</t>
  </si>
  <si>
    <t>Reconciled</t>
  </si>
  <si>
    <t>Supervisor</t>
  </si>
  <si>
    <t>Enter supervisor marks</t>
  </si>
  <si>
    <t>Combined Sup with Ass Marks</t>
  </si>
  <si>
    <t>Assessor</t>
  </si>
  <si>
    <t>Enter assessor marks</t>
  </si>
  <si>
    <t>Combined Ass with Sup Marks</t>
  </si>
  <si>
    <t xml:space="preserve">Supervisor comments </t>
  </si>
  <si>
    <t>Proposal</t>
  </si>
  <si>
    <t>Midpoint</t>
  </si>
  <si>
    <t>Final Report</t>
  </si>
  <si>
    <t>1. Introduction &amp; Updated Problem Definition</t>
  </si>
  <si>
    <t>2. Expanded Literature Review (Complete Chapter 2)</t>
  </si>
  <si>
    <t>3. Methodology (Complete Chapter 3)</t>
  </si>
  <si>
    <t>4. Legal, Ethical, Social &amp; Professional (LESP)</t>
  </si>
  <si>
    <t>7. Interim Presentation (Viva Progress Review)</t>
  </si>
  <si>
    <t>Description</t>
  </si>
  <si>
    <t>1. Problem Background, Motivation &amp; Research Gap Identification</t>
  </si>
  <si>
    <t>2. Scoping Literature Review</t>
  </si>
  <si>
    <t>4. Research Aim, Questions &amp; Objectives</t>
  </si>
  <si>
    <t>5. Proposed Architecture / Conceptual Design</t>
  </si>
  <si>
    <t>7. Proposal Viva</t>
  </si>
  <si>
    <t>3. Methodology</t>
  </si>
  <si>
    <t>6. Report Presentation Quality (Structure, Formatting &amp; Referencing)</t>
  </si>
  <si>
    <t>Demonstrate significant refinement of your initial problem statement based on supervisor and assessor feedback. Your introduction should now articulate a well-defined research gap supported by recent, credible citations. Show clear evolution in your understanding of the problem domain, with evidence of deeper engagement with the research area. Establish explicit, logical connections between your problem definition (Chapter 1) and your literature review (Chapter 2), ensuring that one naturally flows into the other. Your research questions should be sharpened, specific, and directly address the identified gap.
Key Expectations:
Evidence of iterative improvement from initial proposal
Clear problem statement with current supporting evidence
Explicitly stated research gap with justification
Coherent narrative linking problem to literature foundation
Well-articulated, focused research questions</t>
  </si>
  <si>
    <t>5. Proof of Concept / Prototype Evidence</t>
  </si>
  <si>
    <t>Present a comprehensive, critically analysed literature review following the structured approach outlined in sections 2.1–2.7. Move beyond descriptive summaries to provide critical synthesis, comparing and contrasting different approaches, methodologies, and findings. Apply thematic analysis that demonstrates both intra-theme depth (within each theme) and cross-theme linkages (connections across themes). Integrate three essential dimensions: (1) the problem domain and its context, (2) technological approaches and solutions, and (3) critical evaluation of existing work, clearly identifying their limitations and how your research addresses these gaps.
Key Expectations:
Structured thematic organization with clear subsections
Critical analysis rather than description—evaluate strengths, weaknesses, and applicability
Synthesis across sources showing patterns, contradictions, and trends
Minimum one citation per substantive claim; grouped citations for comparative analysis
Clear positioning of your work relative to existing literature
Explicit identification of research gaps emerging from the review
Demonstrates scholarly breadth (range of sources) and depth (detailed understanding)</t>
  </si>
  <si>
    <t>Provide a comprehensive research and development methodology chapter that fully implements Saunders' Research Onion framework—addressing research philosophy, approach, strategy, time horizon, data collection techniques, and analysis methods. Each methodological choice must be explicitly justified and clearly aligned with your research questions. Detail your selected development methodology (e.g., Agile, Waterfall, prototyping), explaining why it suits your project. Include a robust project management plan featuring a Gantt chart with milestones, defined deliverables, resource requirements, and risk assessment with mitigation strategies. Demonstrate methodological coherence—every element should logically connect to your research objectives.
Key Expectations:
Complete coverage of all Saunders' Research Onion layers with justifications
Clear explanation and justification of development methodology
Detailed project plan with timeline, milestones, and deliverables
Resource planning (tools, technologies, datasets, equipment)
Risk identification and mitigation strategies
Evaluation methodology and success criteria
Strong alignment between methodology and research questions</t>
  </si>
  <si>
    <t>Demonstrate comprehensive awareness and thoughtful consideration of LESP issues relevant to your research. Address compliance with the BCS Code of Conduct and professional standards. Discuss data protection implications under GDPR or relevant regulations, considering data collection, storage, and usage. Examine potential biases in your approach, datasets, or algorithms. Address privacy concerns, transparency requirements, and explainability of your solution. Show understanding of social implications and professional responsibility. If your project involves human participants, sensitive data, or vulnerable groups, demonstrate awareness of the ethical clearance process and requirements.
Key Expectations:
Explicit discussion of relevant ethical considerations (not generic statements)
Compliance with professional codes of conduct
Data protection and privacy considerations with specific regulations
Bias identification and mitigation strategies
Social impact and responsible innovation
Transparency and accountability measures
Evidence of engagement with ethical clearance process if required</t>
  </si>
  <si>
    <t>Provide tangible evidence of practical progress representing work from Chapter 4 (Design) or Chapter 5 (Implementation). This should demonstrate forward momentum beyond conceptual planning into actual development work. Evidence may include: acquired and processed datasets with preliminary analysis, interface mockups or functional prototypes, system architecture diagrams with implementation details, preliminary testing results, or proof-of-concept demonstrations. Include screenshots, code snippets, sample outputs, or visual evidence showing your solution taking shape. This demonstrates technical competency and project feasibility.
Key Expectations:
Concrete evidence of development progress (not just plans)
Dataset acquisition, preparation, or preliminary analysis if applicable
Interface designs, wireframes, or functional prototypes
Architecture diagrams showing implementation-level detail
Screenshots, sample outputs, or demonstrations
Early testing or validation results if available
Evidence that your proposed solution is technically feasible</t>
  </si>
  <si>
    <t>Adhere strictly to academic formatting standards as specified in the thesis structure guidelines. Ensure professional presentation with consistent use of fonts, spacing, margins, headers, and footers. Maintain logical flow and coherence between chapters—each chapter should build naturally on the previous one. Apply Harvard referencing style consistently and accurately throughout. Number and caption all figures, tables, and equations appropriately with descriptive titles. Demonstrate academic writing standards: clear, concise prose free from grammatical errors, appropriate technical terminology, and professional tone. The document should read as a cohesive, scholarly work.
Key Expectations:
Compliance with specified formatting requirements
Consistent and accurate Harvard referencing
Logical structure with smooth transitions between chapters
Properly numbered and captioned figures, tables, and diagrams
Professional academic writing style
Free from grammatical and typographical errors
Coherent narrative throughout the document</t>
  </si>
  <si>
    <t>6. Report Formatting &amp; Presentation Quality</t>
  </si>
  <si>
    <t>Deliver a focused, professional presentation within a strict 15-minute timeframe. Structure your presentation to cover: problem statement and motivation, identified research gap, key findings from literature review, chosen methodology with justifications, and progress to date including preliminary results or implementation evidence. Demonstrate command of your research topic through clear explanations, confident delivery, appropriate eye contact, and effective time management. During the Q&amp;A, provide thoughtful, well-reasoned answers that demonstrate depth of understanding and ability to defend your methodological choices and findings. Your presentation should convince the audience that you understand your research area deeply and that your project is on track for successful completion.
Key Expectations:
Clear, well-structured presentation covering all key areas
Effective use of visual aids (diagrams, results, evidence)
Professional delivery with confidence and appropriate pace
Strong time management (within 15-minute limit)
Demonstrates deep understanding during Q&amp;A
Ability to defend methodological choices and address concerns
Clear articulation of progress and next steps</t>
  </si>
  <si>
    <t>1. Introduction (Chapter 1)</t>
  </si>
  <si>
    <t>2. Literature Review (Chapter 2)</t>
  </si>
  <si>
    <t>3. Methodology (Chapter 3)</t>
  </si>
  <si>
    <t>4. Implementation / Experimental Setup (Chapter 5)</t>
  </si>
  <si>
    <t>5. Results and Evaluation (Chapter 6)</t>
  </si>
  <si>
    <t>6. Conclusion and Future Work (Chapter 7)</t>
  </si>
  <si>
    <t>7. Formatting and Referencing Quality</t>
  </si>
  <si>
    <t>8. Overall Originality and Academic Integrity</t>
  </si>
  <si>
    <t>Present a refined, comprehensive introduction that establishes the foundation for your entire research. Your problem statement should be clearly articulated with current evidence demonstrating its significance and relevance. Explicitly identify the research gap using a "what is missing" or "what hasn't been done" approach, supported by recent literature that shows this gap genuinely exists. State a single, focused research aim following the Design–Develop–Evaluate structure, supported by 5–8 SMART objectives that are measurable and achievable. Identify and discuss the key challenges you anticipate in addressing this problem, demonstrating awareness of potential obstacles. Clearly articulate your expected contributions to knowledge, practice, or methodology—what novel elements does your work bring? Ensure smooth narrative flow that naturally transitions into your literature review chapter, establishing why a comprehensive review is necessary. Maintain high citation density with Harvard-style references supporting every claim about the problem domain, existing solutions, and identified gaps.
Key Expectations:
Problem Statement: Clear, specific, well-motivated with evidence of real-world or theoretical significance
Research Gap: Explicitly stated with justification from recent literature (≤5 years) showing what's missing
Aim: Single, focused statement following Design–Develop–Evaluate structure
Objectives: 5–8 SMART objectives directly addressing the gap and aim
Challenges: Realistic identification of technical, methodological, or domain-specific challenges
Contributions: Clear articulation of novel aspects—technical contributions, methodological innovations, or practical impact
Flow: Logical progression from problem → gap → aim → objectives → chapter overview
Citations: Harvard style, minimum one citation per claim, recent and credible sources</t>
  </si>
  <si>
    <t>Deliver a comprehensive, critically analytical literature review that demonstrates mastery of your research domain. Structure your review thematically (not chronologically) under clear subsections that address: foundational concepts, technological approaches, existing solutions, datasets and benchmarks, evaluation methodologies, and identified limitations. Move decisively beyond description to provide critical synthesis—compare competing approaches, evaluate their strengths and weaknesses, identify patterns and contradictions in the literature, and analyze why certain approaches succeeded or failed. When discussing datasets and benchmarks, critically evaluate their suitability, limitations, biases, and appropriateness for your research context. Each paragraph should synthesize multiple sources, showing relationships between studies rather than treating them in isolation. Maintain exceptionally high citation density with at least one citation per sentence where factual claims are made; use grouped citations to show contrasting viewpoints or supporting evidence from multiple sources. Conclude each thematic section by explicitly linking findings to your identified research gap. Your writing should demonstrate academic maturity with precise technical language, analytical depth, and scholarly rigor.
Key Expectations:
Comprehensive Coverage: Addresses all relevant aspects—domain fundamentals, technologies, existing solutions, datasets, evaluation methods
Critical Analysis: Evaluates and compares rather than describes; identifies strengths, limitations, and contradictions
Thematic Structure: Organized by themes/topics with clear subsections (not chronological)
Benchmarking Evaluation: Critical discussion of datasets and benchmarks used in the field—their adequacy, biases, limitations, and relevance
Synthesis: Shows relationships between studies; compares approaches; identifies trends and patterns
High Citation Density: Minimum one citation per substantive sentence; grouped citations for comparative claims
Gap Identification: Each section explicitly links to your research gap; culminates in clear statement of what's missing
Academic Style: Precise technical terminology, formal tone, analytical depth, scholarly writing conventions
Breadth and Depth: Wide coverage of the field with detailed analysis of key works</t>
  </si>
  <si>
    <t>Present a rigorous, well-justified research methodology that demonstrates philosophical awareness and practical planning. Systematically address each layer of Saunders' Research Onion: research philosophy (positivism, interpretivism, pragmatism), research approach (deductive, inductive, abductive), research strategy (experiment, case study, design science), time horizon (cross-sectional, longitudinal), and data collection/analysis techniques. For each choice, provide explicit justification explaining why it's appropriate for your research questions and project type—don't just state your choices, defend them. Detail your development methodology (Agile, Waterfall, iterative prototyping, etc.) with clear explanation of sprint cycles, phases, or stages. Include a comprehensive project management section featuring: a detailed Gantt chart showing timeline with milestones and dependencies, clearly defined deliverables for each phase, resource requirements (hardware, software, datasets, tools), and a risk analysis table identifying potential risks with their likelihood, impact, and mitigation strategies. Demonstrate coherence—every methodological element should clearly connect to your research questions and objectives.
Key Expectations:
Research Philosophy: Clear statement and justification of philosophical stance relevant to your work
Saunders' Onion: Complete coverage of all layers with explicit justifications for each choice
Development Methodology: Detailed explanation of chosen approach (Agile/Waterfall/etc.) with phases, iterations, or sprints
Justification: Each methodological choice defended with reasons why it suits your research questions
Gantt Chart: Professional timeline showing tasks, milestones, dependencies, and duration
Deliverables: Clear definition of what will be produced at each stage
Resources: Specification of required hardware, software, datasets, libraries, and tools
Risk Management: Risk identification table with likelihood, impact, and mitigation strategies
Evaluation Design: Clear explanation of how you'll evaluate your solution (metrics, validation methods, testing approaches)
Coherence: Strong alignment between methodology and research objectives</t>
  </si>
  <si>
    <r>
      <t xml:space="preserve">Provide a detailed, technically rigorous account of your system implementation or experimental setup that enables replication and demonstrates technical competence. Begin with a comprehensive system architecture diagram showing all components, modules, data flows, and interactions with clear labels and annotations. Specify your complete technology stack including programming languages, frameworks, libraries, development environments, and hardware specifications with version numbers. Present your implementation in logical sub-modules or components, explaining each module's purpose, functionality, and how it integrates with others. Include relevant code snippets for critical algorithms, novel implementations, or complex logic—annotated to explain key decisions. </t>
    </r>
    <r>
      <rPr>
        <b/>
        <sz val="11"/>
        <color rgb="FF000000"/>
        <rFont val="Calibri"/>
        <family val="2"/>
        <scheme val="minor"/>
      </rPr>
      <t>If applicable</t>
    </r>
    <r>
      <rPr>
        <sz val="11"/>
        <color rgb="FF000000"/>
        <rFont val="Calibri"/>
        <family val="2"/>
        <scheme val="minor"/>
      </rPr>
      <t xml:space="preserve">, showcase UI/UX designs with screenshots or mockups explaining design rationale and user flow. Detail your data acquisition, preprocessing, and transformation pipeline—explain how raw data was cleaned, normalized, augmented, or structured. For machine learning projects, document model architecture, training procedures, hyperparameters, and optimization strategies. For software systems, explain database schema, API design, and system integration. Maintain logical flow throughout, ensuring each section builds naturally on previous content and prepares for evaluation discussion.
Key Expectations:
System Architecture: Comprehensive diagram showing all components, modules, data flows, and interactions with clear labeling
Technology Stack: Complete specification of languages, frameworks, libraries, tools, and hardware with versions
Modular Organization: Implementation explained through logical sub-modules or components with clear purposes
Code Snippets: Relevant, annotated code demonstrating critical algorithms or novel implementations
</t>
    </r>
    <r>
      <rPr>
        <b/>
        <sz val="11"/>
        <color rgb="FF000000"/>
        <rFont val="Calibri"/>
        <family val="2"/>
        <scheme val="minor"/>
      </rPr>
      <t>If applicable,</t>
    </r>
    <r>
      <rPr>
        <sz val="11"/>
        <color rgb="FF000000"/>
        <rFont val="Calibri"/>
        <family val="2"/>
        <scheme val="minor"/>
      </rPr>
      <t xml:space="preserve"> UI/UX Design: Screenshots, mockups, or wireframes with explanation of design decisions and user flow
Data Pipeline: Detailed explanation of data acquisition, preprocessing, cleaning, transformation, and augmentation
Implementation Details: For ML: model architecture, training process, hyperparameters; For software: database schema, APIs, integrations
Technical Depth: Sufficient detail for replication; explains "how" not just "what"
Logical Flow: Coherent narrative connecting design decisions to implementation to evaluation
Visual Evidence: Screenshots, diagrams, flowcharts supporting textual explanations</t>
    </r>
  </si>
  <si>
    <t>Present a rigorous, comprehensive evaluation that definitively demonstrates whether your solution addresses the research gap and achieves stated objectives. Include both quantitative results (numerical metrics, statistical analysis) and qualitative results (usability feedback, case studies, expert evaluation) as appropriate to your research type. Display results professionally using well-formatted tables and figures with descriptive captions—every table and figure should be referenced and interpreted in the text. For AI/ML projects, conduct ablation studies to isolate the contribution of individual components or design choices, showing what happens when elements are removed or modified. Compare your solution against state-of-the-art (SOTA) approaches or industry baselines using the same datasets and evaluation metrics—present this comparison fairly and critically. Provide critical interpretation of results: What do they mean? Why did certain approaches work better? What unexpected findings emerged? Where did your solution excel and where did it fall short? Discuss statistical significance where applicable. Address limitations honestly and analyze potential reasons for any suboptimal results. Connect findings back to your research questions and objectives, explicitly showing which objectives were achieved and to what extent.
Key Expectations:
Quantitative Results: Numerical metrics, performance measurements, statistical analysis presented in tables/graphs
Qualitative Results: User feedback, case studies, observations, or expert evaluations where relevant
Professional Presentation: Well-formatted tables and figures with descriptive captions; all referenced in text
Ablation Studies: (For ML/AI) Systematic analysis showing contribution of individual components or design choices
SOTA Comparison: Fair comparison with state-of-the-art or baseline approaches using consistent evaluation metrics
Benchmarking: Evaluation against established benchmarks or datasets in your domain
Interpretation: Critical analysis of what results mean, why certain patterns emerged, and implications
Statistical Rigor: Appropriate statistical tests, significance levels, confidence intervals where applicable
Objective Mapping: Explicit connection between results and research objectives—which objectives were achieved?
Limitation Discussion: Honest acknowledgment of where solution falls short with analysis of reasons
Unexpected Findings: Discussion of surprising results or deviation from expectations
Critical Discussion: Goes beyond reporting numbers to analyze implications, compare with literature, and explain outcomes</t>
  </si>
  <si>
    <t>Craft a powerful, concise conclusion that brings closure to your research while opening pathways forward. Begin with a crisp summary of your research journey: restate the problem, gap, and research aim, then synthesize your key findings and outcomes. Systematically map each research objective to its achievement—create a clear table or narrative showing what was accomplished, to what extent, and with what evidence. Honestly acknowledge limitations of your work: scope constraints, methodological limitations, data constraints, or technical challenges that affected outcomes. Present well-reasoned, specific future work directions that genuinely extend your research—avoid generic statements like "test on more data." Instead, propose concrete next steps such as specific algorithmic improvements, new application domains, integration with emerging technologies, or addressing identified limitations. Explicitly articulate your contributions to the body of knowledge: What new understanding, methodology, tool, or insight does your work contribute to the field? How does it advance the state of practice or theory? Distinguish between incremental improvements and novel contributions. End with a forward-looking statement about the potential impact or broader implications of your research area.
Key Expectations:
Research Summary: Concise restatement of problem, gap, aim, and approach (no new information)
Key Findings: Synthesis of main outcomes and contributions
Objective Achievement Mapping: Systematic review showing each objective and its achievement status with evidence
Limitations: Honest, specific acknowledgment of constraints, limitations, and shortcomings
Future Work: Concrete, well-reasoned directions for extending the research (not generic statements)
Specific Proposals: Detailed suggestions for algorithmic improvements, new applications, or addressing limitations
Body of Knowledge Contributions: Clear articulation of theoretical, methodological, or practical contributions to the field
Novel vs. Incremental: Distinction between what's genuinely novel and what's incremental improvement
Impact Statement: Discussion of broader implications or potential real-world impact
Closure: Professional, forward-looking conclusion that leaves reader with clear understanding of work's significance
Conciseness: Avoids redundancy with previous chapters; focused and purposeful</t>
  </si>
  <si>
    <t xml:space="preserve">Demonstrate professional academic presentation through strict adherence to formatting specifications and citation standards. Apply consistent formatting throughout: appropriate font (Times New Roman 12pt), line spacing (1.5 or as specified), proper margins, and professional headers/footers with page numbers and relevant identifiers. Maintain page limit (typically ≤60 pages for Introduction through Conclusion chapters, excluding front matter, references, and appendices). Use Harvard referencing style with meticulous consistency for all in-text citations and reference list entries—verify that every in-text citation has a corresponding reference entry and vice versa. Number all figures, tables, and equations sequentially with descriptive captions positioned appropriately (figures below, tables above). Ensure all visual elements are clearly legible, properly sized, and enhance understanding. Structure chapters with clear hierarchical headings (e.g., 3.1, 3.1.1) following academic conventions. Eliminate grammatical errors, typos, and awkward phrasing. If AI tools were used for any content generation, editing, or assistance, include explicit acknowledgment in appropriate sections (e.g., methodology or acknowledgments). Present a polished, publication-ready document that reflects pride in scholarship and attention to detail.
Key Expectations:
Format Compliance: Strict adherence to specified formatting (font, spacing, margins, headers/footers)
Page Limits: Respects specified page constraints (typically ≤60 pages Introduction–Conclusion)
Harvard Referencing: Consistent, accurate application of Harvard style for all citations
Citation-Reference Match: Every in-text citation has reference entry; every reference is cited in text
Figure/Table Presentation: Sequential numbering, descriptive captions, proper placement, clear legibility
Structural Hierarchy: Clear chapter/section/subsection numbering following academic conventions
Professional Polish: Free from grammatical errors, typos, and awkward phrasing
Visual Quality: High-quality diagrams, charts, and images that are clear and purposeful
Consistency: Uniform style throughout (headings, font usage, spacing, citation format)
AI Acknowledgment: Explicit acknowledgment if AI tools were used for any aspect of work
Academic Tone: Professional, scholarly writing throughout; avoids colloquialisms
</t>
  </si>
  <si>
    <t>Demonstrate authentic, original research reflecting independent thinking and genuine intellectual contribution. Your work should showcase your own analysis, design decisions, and critical thinking—not merely reproducing others' ideas or combining existing solutions without adding novel insights. Show evidence of independent problem-solving: original approaches to implementation, unique evaluation perspectives, novel combinations of techniques, or creative solutions to identified challenges. Your literature review should synthesize rather than summarize, showing your analytical voice. Your design and implementation should reflect choices you made and can defend, not simply following tutorials or copying existing code without understanding and adaptation. Maintain exemplary academic integrity: properly attribute all sources, quote sparingly and only when necessary, paraphrase effectively in your own words, and distinguish clearly between your contributions and others' work. Submit work with an acceptable similarity index (typically &lt;15% excluding references and standard technical terms)—high similarity suggests excessive copying rather than original writing. Demonstrate deep understanding through explanation and justification of your choices. Show that you genuinely engaged with the research process, faced challenges, made decisions, and learned from the experience.
Key Expectations:
Original Analysis: Your own critical thinking evident in problem analysis, solution design, and evaluation interpretation
Independent Design: Evidence of personal design decisions, not merely implementing existing solutions verbatim
Novel Contribution: Some aspect of your work (combination, application, methodology, evaluation) is genuinely new or uniquely yours
Critical Voice: Literature review and discussion show your analytical perspective, not just reporting others' views
Authentic Implementation: Code and implementation reflect understanding and adaptation, not blind copying
Proper Attribution: All sources properly cited; clear distinction between your work and others' work
Paraphrasing: Content is in your own words; minimal direct quotations; demonstrates understanding through explanation
Similarity Index: Acceptable range (typically &lt;15%) when checked through plagiarism detection tools
Deep Understanding: Explanations and justifications show you genuinely understand your choices and their implications
Intellectual Honesty: Acknowledges influences, limitations, and builds ethically on others' work
Research Journey Evidence: Work reflects genuine engagement with research process, including challenges faced and overcome</t>
  </si>
  <si>
    <t>1. Content Coverage</t>
  </si>
  <si>
    <t>2. Clarity and Structure of Slides</t>
  </si>
  <si>
    <t>3. Technical Depth and Understanding</t>
  </si>
  <si>
    <t>4. Critical Thinking and Reflection</t>
  </si>
  <si>
    <t>5. Presentation Skills and Professionalism</t>
  </si>
  <si>
    <t>6. Q&amp;A Handling</t>
  </si>
  <si>
    <t>Deliver a comprehensive yet focused presentation that addresses all essential components of your research within the allocated time. Your presentation must coherently cover: the research problem with its real-world or theoretical significance, the motivation demonstrating why this problem matters now, the explicitly identified research gap supported by literature, your clearly stated research aim and SMART objectives, the proposed system architecture or conceptual framework, your research and development methodology with justifications, key implementation details showcasing technical work, results and evaluation findings with meaningful interpretation, and conclusions mapping achievements to objectives. The hallmark of excellent content coverage is logical flow—each section should naturally transition to the next, building a compelling narrative that takes the audience on your research journey from problem identification through to solution validation. Avoid information overload by focusing on key points rather than exhaustive detail. Each component should receive appropriate time allocation based on its significance: spend more time on novel contributions, results, and critical findings rather than basic background that can be assumed. Demonstrate clear understanding of what to emphasize and what to summarize. Use signposting throughout ("Having identified the gap, I'll now explain my methodology..." or "This leads us to my key finding...") to help the audience follow your narrative arc.Key Expectations:
Problem &amp; Motivation: Clear articulation of the research problem with evidence of significance and timeliness
Research Gap: Explicitly stated gap with supporting literature references; audience understands "what's missing"
Aim &amp; Objectives: Concise presentation of your focused aim and 3-4 measurable objectives
Architecture/Framework: Visual representation of your proposed solution showing feasibility and logical design
Methodology: Justified research approach, development methodology, and evaluation strategy (not exhaustive detail)
Implementation Highlights: Key technical contributions, innovations, or challenging aspects of development
Results &amp; Evaluation: Main findings presented with interpretation; quantitative and qualitative outcomes
Conclusions: Achievement summary, limitations, contributions to knowledge, and future directions
Logical Flow: Smooth transitions creating coherent narrative; clear progression from problem to solution to validation
Time Allocation: Appropriate emphasis on novel aspects and key findings; efficient coverage of standard elements
Completeness: All essential research components addressed without omissions
Audience Awareness: Content pitched appropriately for academic assessment; assumes basic domain knowledge
Excellence Indicators:
Compelling narrative that engages audience throughout
Clear emphasis on what makes your work unique or significant
Efficient coverage allowing time for depth on critical aspects
Smooth transitions that build logical argument
Balanced coverage—neither rushing through sections nor dwelling too long on preliminaries</t>
  </si>
  <si>
    <t>Create visually professional, academically appropriate slides that enhance understanding rather than distract. Limit your presentation to a maximum of 15 slides (excluding title and reference slides) to maintain focus and prevent information overload. Each slide should have a clear, descriptive title that indicates its purpose (avoid generic titles like "Results" in favor of "Performance Comparison: Proposed Model vs. State-of-the-Art"). Use legible fonts (minimum 18pt for body text, 24pt+ for headings) and maintain consistent formatting throughout—same fonts, color schemes, bullet styles, and spacing across all slides. Employ a clean, professional layout with adequate white space; avoid cluttered slides with excessive text. Diagrams, charts, and figures should be high-quality, properly sized, and consistent in style—if you use specific colors or shapes to represent concepts, maintain that convention throughout. Include proper citations on slides where you reference literature (especially in problem statement, gap identification, and methodology sections)—use abbreviated citations on slides with full references at the end. Use visual hierarchy effectively: main points larger/bolder, supporting details smaller. Apply the "six-word, six-line" rule as guidance: avoid text-heavy slides that duplicate your speech. Instead, use bullet points for key ideas, letting your verbal explanation provide detail. Ensure all text, labels, and numbers in diagrams are clearly readable from a distance. Use color purposefully and consistently, ensuring sufficient contrast for readability. Avoid distracting animations or transitions that undermine professional tone.Key Expectations:
Slide Limit: Maximum 15 content slides (excluding title and references) demonstrating focused content selection
Typography: Legible fonts (≥18pt body, ≥24pt headings); consistent font family throughout
Layout Consistency: Uniform formatting, spacing, margins, and alignment across all slides
Visual Clarity: Clean design with adequate white space; avoids cluttered or text-heavy slides
Diagram Quality: High-resolution, properly sized, professionally rendered diagrams and figures
Visual Consistency: Coherent color schemes, shape usage, and stylistic conventions maintained throughout
Slide Titles: Descriptive, specific titles that clearly indicate slide content and purpose
Citations on Slides: Proper abbreviated citations on slides referencing prior work (e.g., [Author, Year])
Text Balance: Slides support speech rather than duplicate it; key points highlighted, not full sentences
Readability: All text, labels, graph axes, and diagram annotations clearly legible from distance
Color Usage: Purposeful, consistent color application with sufficient contrast for accessibility
Visual Hierarchy: Important information emphasized through size, color, or positioning
Professional Tone: Academic appropriateness; avoids excessive animations, gimmicks, or informal elements
Excellence Indicators:
Slides enhance understanding—audience can follow along visually while listening
Professional design quality comparable to conference presentations
Diagrams and visualizations effectively communicate complex concepts
Each slide has clear purpose and adds value to presentation
Audience can glance at slide and immediately grasp key point being made</t>
  </si>
  <si>
    <t>Demonstrate comprehensive, expert-level mastery of the technical foundations, implementation details, and evaluation methodologies underlying your research. Show deep understanding of the algorithms, models, or techniques you employed—explain not just what you used, but how they work, why you selected them, and what theoretical or empirical principles justify their use. Display command over your data: explain data characteristics, preprocessing decisions, feature engineering rationale, data augmentation strategies, or dataset selection criteria with clear justification. Articulate your evaluation approach with sophistication: explain chosen metrics, why they're appropriate for your problem, how they measure success, baseline comparisons, and interpretation of results. When presenting technical components, reveal depth of understanding through: explaining trade-offs between alternatives, discussing complexity considerations (time/space), describing implementation challenges overcome, or demonstrating awareness of edge cases and limitations. Be prepared to defend your design and methodological choices analytically—show that decisions were deliberate and informed, not arbitrary or simply following conventions without understanding. Present technical content with precision and accuracy, using correct terminology and demonstrating conceptual clarity. Show evidence that you genuinely understand the inner workings of your solution, not just surface-level familiarity. Connect technical choices back to research objectives, showing how implementation decisions support your research goals.
Key Expectations:
Algorithmic Understanding: Clear explanation of how algorithms/models work; understanding of underlying principles and mathematics
Design Justification: Analytical defense of architectural and design choices; explains why alternatives were rejected
Data Expertise: Demonstrates comprehensive knowledge of data sources, characteristics, preprocessing, and quality considerations
Technical Trade-offs: Articulates trade-offs considered (accuracy vs. speed, complexity vs. performance, etc.)
Evaluation Rigor: Explains evaluation metrics, their appropriateness, interpretation, and limitations
Implementation Insight: Discusses technical challenges faced and how they were overcome
Theoretical Grounding: Connects practical choices to theoretical principles or empirical evidence from literature
Precision: Uses technical terminology correctly and precisely; avoids vague or imprecise language
Depth over Breadth: Shows deep understanding of core technical components rather than superficial coverage of many topics
Comparative Awareness: Demonstrates knowledge of alternative approaches and can compare them analytically
Integration Understanding: Explains how technical components interact and integrate within overall system
Objective Alignment: Clearly connects technical decisions to research questions and objectives
Excellence Indicators:
Can explain technical concepts at multiple levels of abstraction as needed
Demonstrates original thinking in technical approach or novel combinations
Shows awareness of cutting-edge developments in relevant technical areas
Reveals depth through specific details (parameter choices, optimization strategies, etc.)
Confidently discusses technical limitations and their implications
Connects implementation details to evaluation outcomes analytically</t>
  </si>
  <si>
    <t>Demonstrate scholarly maturity through honest self-assessment, critical reflection, and analytical thinking about your research. Acknowledge limitations of your work transparently—discuss scope constraints, methodological limitations, data limitations, generalizability concerns, or aspects where results fell short of expectations. Show that you understand the boundaries and constraints of your findings rather than overstating their significance. Reflect on challenges encountered during the research process and how you addressed them—this reveals problem-solving ability and resilience. Discuss alternative approaches you considered and analytically compare them with your chosen path, explaining why you made specific decisions even if alternatives had merit. Critically evaluate your own results: What worked well and why? What could be improved? Were there unexpected findings, and what might explain them? Create explicit linkages between your results and your original research objectives—systematically show which objectives were achieved, to what extent, and with what evidence. Demonstrate awareness of how your work fits within the broader research landscape: How does it advance the field? What assumptions does it challenge or confirm? Propose thoughtful, specific future work directions that genuinely extend your research—avoid generic statements like "test with more data" and instead suggest concrete investigations such as specific algorithmic enhancements, new application domains, or addressing identified limitations. Show you've learned from the research process and can think critically about your own work.
Key Expectations:
Honest Limitation Discussion: Transparent acknowledgment of where work falls short; discusses scope, methodological, or data constraints
Challenge Reflection: Discusses obstacles encountered and problem-solving approaches used to overcome them
Alternative Consideration: Acknowledges alternative approaches considered and analytically justifies chosen path
Self-Critical Evaluation: Critically analyzes own results—what worked, what didn't, and potential reasons why
Results Interpretation: Goes beyond presenting numbers to analyze implications, unexpected findings, and meaning
Objective Mapping: Explicitly links results back to stated research objectives showing achievement status
Contextual Awareness: Positions work within broader research landscape; understands its place and contribution
Assumption Critique: Identifies and discusses key assumptions underlying the research approach
Specific Future Work: Proposes concrete, well-reasoned extensions (not generic "more testing" statements)
Learning Evidence: Shows growth and learning from the research process; discusses what you'd do differently
Balanced Perspective: Neither overstates significance nor undersells genuine contributions
Generalizability Discussion: Considers scope of applicability; what contexts findings apply to
Excellence Indicators:
Shows intellectual honesty—acknowledges weaknesses without diminishing achievements
Proposes future work that builds logically on findings and addresses identified gaps
Demonstrates metacognition—reflects on own research process and thinking
Connects limitations to specific methodological choices showing understanding of cause and effect
Shows nuanced understanding that research always involves trade-offs and constraints
Reveals maturity through ability to critically assess own work objectively</t>
  </si>
  <si>
    <t>Deliver your presentation with confidence, clarity, and professional polish that reflects serious academic scholarship. Speak clearly and at an appropriate pace—not too fast (audience can't process information) nor too slow (losing engagement). Project your voice sufficiently for all audience members to hear comfortably without straining. Maintain regular eye contact with the audience, distributing your attention across different areas of the room rather than fixating on one spot, reading entirely from slides, or staring at your screen. Use your slides as visual aids while you remain the primary communicator—avoid reading slides verbatim; instead, use them as cues to explain and elaborate. Demonstrate confident body language: stand tall, use purposeful gestures to emphasize points, move naturally rather than standing rigidly, but avoid distracting fidgeting or pacing. Master time management by practicing your presentation to fit precisely within the allocated time (typically 15-20 minutes)—rushing through crucial sections due to poor time allocation undermines your work's presentation. Use academic language appropriately: employ technical terminology correctly, maintain professional tone, avoid colloquialisms or overly casual expressions. Show enthusiasm for your work—engage the audience through dynamic delivery without becoming informal. Demonstrate professional conduct throughout: dressed appropriately, arrive prepared with backup plans (saved presentation on multiple devices), handle technical difficulties calmly, respond to feedback gracefully. Your demeanor should convey that you take your research seriously and respect the evaluation process.
Key Expectations:
Vocal Clarity: Clear articulation, appropriate volume, and well-paced delivery that's easy to follow
Eye Contact: Regular, distributed eye contact with audience; avoids reading slides or fixating on one area
Confident Delivery: Projects confidence through posture, tone, and assured presentation manner
Slide Integration: Uses slides as support while maintaining audience engagement; doesn't read slides verbatim
Body Language: Purposeful, natural gestures and movement; avoids distracting habits or nervous behaviors
Time Management: Completes presentation within allocated time without rushing critical sections
Pacing: Maintains appropriate speed—allows audience to process information without losing engagement
Academic Language: Uses technical terminology correctly; maintains professional, scholarly tone throughout
Engagement: Shows enthusiasm and interest in work; maintains audience attention and interest
Professional Conduct: Appropriate attire, preparedness, handles technical issues calmly, shows respect for process
Vocal Variety: Varies tone and emphasis to maintain interest and highlight important points
Transition Smoothness: Moves fluidly between topics and slides; uses verbal signposting effectively
Excellence Indicators:
Delivers presentation as if speaking naturally to colleagues, not reciting memorized script
Commands the room with presence and authority on subject matter
Makes complex technical content accessible through clear explanation and effective delivery
Maintains perfect timing—finishes with seconds to spare, covering all points without rushing
Creates connection with audience—they remain engaged and attentive throughout
Recovers smoothly from any stumbles or technical issues without losing composure</t>
  </si>
  <si>
    <t>Respond to questions with depth, accuracy, and composure that demonstrates genuine understanding and authentic engagement with your research. Listen carefully to each question—take a moment to understand what's being asked before responding, and seek clarification if needed rather than answering a different question. Provide thoughtful, substantive answers that demonstrate deep understanding of technical and conceptual aspects of your work—avoid superficial or evasive responses. For technical questions, show command of details: explain implementation specifics, justify parameter choices, discuss algorithmic nuances, or elaborate on evaluation methodology. For conceptual questions, reveal analytical thinking: discuss broader implications, connect to related work, or explore alternative interpretations. When faced with challenging questions about limitations or design choices, respond honestly and analytically—acknowledge valid critiques while defending your decisions with reasoned arguments. If you don't know an answer, admit it professionally rather than guessing or deflecting (e.g., "That's an excellent question I hadn't fully considered—I'd need to investigate that further"). Show evidence of original work through your ability to discuss nuances, explain decisions, compare alternatives, and elaborate on details only the researcher would know. Demonstrate flexibility by thinking on your feet when questions take unexpected directions. Handle critical or challenging questions with grace and professionalism—view them as opportunities to demonstrate knowledge rather than attacks to defend against. Maintain composure throughout, avoiding defensive or dismissive responses.
Key Expectations:
Active Listening: Carefully attends to questions; asks for clarification if needed before responding
Substantive Responses: Provides detailed, meaningful answers that address the question directly
Technical Depth: Demonstrates command of technical details when questioned about implementation or methodology
Conceptual Clarity: Shows analytical thinking when discussing broader implications or conceptual aspects
Honest Engagement: Acknowledges limitations or uncertainties honestly; admits what you don't know professionally
Original Work Evidence: Answers reveal depth of understanding only possible through genuine research engagement
Analytical Defense: Justifies design choices with reasoned arguments; engages with critique constructively
Composure Under Pressure: Remains calm, professional, and thoughtful when faced with challenging questions
Flexibility: Adapts to unexpected question directions; thinks analytically on the spot
Comprehensive Coverage: Addresses all parts of multi-part questions thoroughly
Professional Demeanor: Maintains respectful, collegial tone even when questions are critical or challenging
Conciseness: Provides sufficient detail without excessive tangential information; answers efficiently
Excellence Indicators:
Engages with questions thoughtfully, sometimes revealing new insights not covered in presentation
Shows that challenges or limitations were considered during research and can discuss them analytically
Provides evidence-based answers referring to specific results, literature, or implementation details
Demonstrates ability to connect questions to broader research context or related work
Turns difficult questions into opportunities to showcase depth of understanding
Maintains composure and professionalism even under intense scrutiny
Shows intellectual curiosity about examiner perspectives and suggestions</t>
  </si>
  <si>
    <t xml:space="preserve">Assessor comments </t>
  </si>
  <si>
    <t>What's Expected:
Present a clear, well-contextualized problem supported by recent academic sources (≤5 years from IEEE, ACM, Elsevier). Demonstrate understanding of the domain and why this problem matters now. Explicitly identify and justify your research gap—explain precisely what's missing (technical capability, theoretical understanding, or practical implementation) and provide evidence that this gap genuinely exists.Key Requirements:
Current, significant problem with credible source support
Clear motivation explaining importance and urgency
Explicit gap statement (not vague "more research needed")
Logical flow: problem → inadequate solutions → identified gap
Gap classified as technical, theoretical, or practical with justification</t>
  </si>
  <si>
    <t>What's Expected:
Structure review thematically (not chronologically) showing breadth and depth. Critically analyze sources—compare approaches, evaluate strengths/limitations, identify patterns. Maintain high citation density (≥1 per sentence for claims). Conclude by linking findings to your research gap.
Key Requirements:
Thematic organization with clear subsections
Critical comparison, not just description
Grouped citations for contrasting viewpoints
Covers: foundational concepts, existing solutions, datasets/benchmarks, limitations
Explicit connection between literature findings and your gap</t>
  </si>
  <si>
    <t>What's Expected:
Address Saunders' Research Onion layers (philosophy, approach, strategy, time horizon, techniques) with clear justifications. Explain your development methodology (Agile/Waterfall/etc.) and why it suits your project. Include Gantt chart, resource plan (hardware, software, datasets), and risk assessment.
Key Requirements:
Complete Saunders' Onion with justified choices
Clear development methodology appropriate to project type
Timeline with milestones and deliverables
Resource requirements identified
Risk analysis with mitigation strategies
Evaluation approach specified (metrics, baselines)</t>
  </si>
  <si>
    <t>What's Expected:
State one clear aim following Design–Develop–Evaluate structure. Present 2–4 specific, answerable research questions. Define 5–8 SMART objectives using action verbs (design, develop, implement, evaluate). Ensure complete alignment: gap → aim → questions → objectives.
Key Requirements:
Single focused aim stating what you'll create, why, and how you'll evaluate
Research questions that elaborate the aim (not yes/no questions)
SMART objectives that are measurable and contribution-focused
No generic objectives like "conduct literature review"
Clear alignment throughout</t>
  </si>
  <si>
    <t>What's Expected:
Provide a conceptual diagram showing major components, data flows, and logical structure. Include brief descriptions for each component. Show early thinking about data sources and evaluation approach. Demonstrate feasibility and alignment with objectives.
Key Requirements:
Professional diagram with clear labels
Major components and data flows identified
Component descriptions (purpose and function)
Data source considerations
Feasible to implement within project scope</t>
  </si>
  <si>
    <t>What's Expected:
Follow formatting guidelines: Times New Roman, 1.5 spacing, proper headers/footers. Use Harvard referencing consistently and accurately. Number and caption all figures/tables. Stay within page limits. Acknowledge AI tool usage if applicable. Professional academic writing free from errors.
Key Requirements:
Format compliance and consistency
Accurate Harvard citations (in-text and reference list)
All figures/tables numbered, captioned, and referenced
Logical structure with smooth flow
Proofread, polished, professional tone</t>
  </si>
  <si>
    <t>What's Expected:
Present clearly: Problem → Gap → Aim → Architecture → Methodology → Plan (15 minutes). Demonstrate understanding through confident delivery, good eye contact, and logical flow. Handle Q&amp;A thoughtfully, showing you can defend your choices analytically.
Key Requirements:
Covers all key elements within time limit
Professional delivery with confidence and clarity
Smooth transitions between topics
Thoughtful Q&amp;A responses showing depth of understanding
Professional conduct throughout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</si>
</sst>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0"/>
      <name val="Calibri"/>
      <family val="2"/>
      <scheme val="minor"/>
    </font>
    <font>
      <sz val="11"/>
      <color theme="0"/>
      <name val="Calibri"/>
      <family val="2"/>
      <scheme val="minor"/>
    </font>
    <font>
      <sz val="11"/>
      <name val="Calibri"/>
      <family val="2"/>
      <scheme val="minor"/>
    </font>
    <font>
      <sz val="20"/>
      <name val="Calibri"/>
      <family val="2"/>
      <scheme val="minor"/>
    </font>
    <font>
      <b/>
      <sz val="11"/>
      <name val="Calibri"/>
      <family val="2"/>
      <scheme val="minor"/>
    </font>
    <font>
      <b/>
      <sz val="11"/>
      <color theme="1" tint="0.34998626667073579"/>
      <name val="Calibri"/>
      <family val="2"/>
      <scheme val="minor"/>
    </font>
    <font>
      <b/>
      <sz val="11"/>
      <color rgb="FF000000"/>
      <name val="Calibri"/>
      <family val="2"/>
      <scheme val="minor"/>
    </font>
    <font>
      <sz val="11"/>
      <color rgb="FF000000"/>
      <name val="Calibri"/>
      <family val="2"/>
      <scheme val="minor"/>
    </font>
  </fonts>
  <fills count="9">
    <fill>
      <patternFill patternType="none"/>
    </fill>
    <fill>
      <patternFill patternType="gray125"/>
    </fill>
    <fill>
      <patternFill patternType="solid">
        <fgColor theme="3"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1"/>
        <bgColor indexed="64"/>
      </patternFill>
    </fill>
    <fill>
      <patternFill patternType="solid">
        <fgColor theme="2" tint="-0.499984740745262"/>
        <bgColor indexed="64"/>
      </patternFill>
    </fill>
    <fill>
      <patternFill patternType="solid">
        <fgColor theme="1" tint="0.34998626667073579"/>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65">
    <xf numFmtId="0" fontId="0" fillId="0" borderId="0" xfId="0"/>
    <xf numFmtId="0" fontId="0" fillId="2" borderId="1" xfId="0" applyFill="1" applyBorder="1" applyAlignment="1">
      <alignment horizontal="center"/>
    </xf>
    <xf numFmtId="0" fontId="2" fillId="5" borderId="0" xfId="0" applyFont="1" applyFill="1"/>
    <xf numFmtId="0" fontId="2" fillId="5" borderId="0" xfId="0" applyFont="1" applyFill="1" applyAlignment="1">
      <alignment vertical="top" wrapText="1"/>
    </xf>
    <xf numFmtId="0" fontId="2" fillId="5" borderId="0" xfId="0" applyFont="1" applyFill="1" applyAlignment="1">
      <alignment horizontal="center" vertical="top" wrapText="1"/>
    </xf>
    <xf numFmtId="0" fontId="2" fillId="6" borderId="3" xfId="0" applyFont="1" applyFill="1" applyBorder="1" applyAlignment="1">
      <alignment horizont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1" fontId="2" fillId="6" borderId="4" xfId="0" applyNumberFormat="1" applyFont="1" applyFill="1" applyBorder="1" applyAlignment="1">
      <alignment horizontal="center" vertical="center"/>
    </xf>
    <xf numFmtId="0" fontId="3" fillId="0" borderId="1" xfId="0" applyFont="1" applyBorder="1"/>
    <xf numFmtId="0" fontId="2" fillId="6" borderId="3" xfId="0" applyFont="1" applyFill="1" applyBorder="1" applyAlignment="1">
      <alignment horizontal="left" vertical="center"/>
    </xf>
    <xf numFmtId="9" fontId="3" fillId="0" borderId="1" xfId="0" applyNumberFormat="1" applyFont="1" applyBorder="1"/>
    <xf numFmtId="9" fontId="2" fillId="5" borderId="1" xfId="0" applyNumberFormat="1" applyFont="1" applyFill="1" applyBorder="1"/>
    <xf numFmtId="0" fontId="6" fillId="7" borderId="1" xfId="0" applyFont="1" applyFill="1" applyBorder="1"/>
    <xf numFmtId="0" fontId="1" fillId="7" borderId="1" xfId="0" applyFont="1" applyFill="1" applyBorder="1"/>
    <xf numFmtId="0" fontId="0" fillId="0" borderId="1" xfId="0" applyBorder="1"/>
    <xf numFmtId="0" fontId="0" fillId="8" borderId="0" xfId="0" applyFill="1"/>
    <xf numFmtId="0" fontId="0" fillId="2" borderId="1" xfId="0" applyFill="1" applyBorder="1" applyAlignment="1">
      <alignment horizontal="left" vertical="center"/>
    </xf>
    <xf numFmtId="0" fontId="0" fillId="3" borderId="1" xfId="0" applyFill="1" applyBorder="1" applyAlignment="1">
      <alignment horizontal="left" vertical="center"/>
    </xf>
    <xf numFmtId="0" fontId="0" fillId="3" borderId="1" xfId="0" applyFill="1" applyBorder="1" applyAlignment="1">
      <alignment horizontal="left" vertical="center" wrapText="1"/>
    </xf>
    <xf numFmtId="0" fontId="0" fillId="0" borderId="0" xfId="0" applyAlignment="1">
      <alignment horizontal="left" vertical="center"/>
    </xf>
    <xf numFmtId="0" fontId="0" fillId="4" borderId="1" xfId="0" applyFill="1" applyBorder="1" applyAlignment="1">
      <alignment horizontal="left" vertical="center"/>
    </xf>
    <xf numFmtId="0" fontId="8" fillId="0" borderId="0" xfId="0" applyFont="1" applyAlignment="1">
      <alignment horizontal="left" vertical="center" wrapText="1"/>
    </xf>
    <xf numFmtId="0" fontId="7" fillId="0" borderId="1" xfId="0" applyFont="1" applyBorder="1" applyAlignment="1">
      <alignment horizontal="left" vertical="center"/>
    </xf>
    <xf numFmtId="0" fontId="8" fillId="0" borderId="1" xfId="0" applyFont="1" applyBorder="1" applyAlignment="1">
      <alignment horizontal="left" vertical="center" wrapText="1"/>
    </xf>
    <xf numFmtId="0" fontId="8" fillId="0" borderId="1" xfId="0" applyFont="1" applyBorder="1" applyAlignment="1">
      <alignment horizontal="left" vertical="center"/>
    </xf>
    <xf numFmtId="0" fontId="0" fillId="2" borderId="1" xfId="0" applyFill="1" applyBorder="1"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vertical="center" wrapText="1"/>
    </xf>
    <xf numFmtId="0" fontId="0" fillId="4" borderId="1" xfId="0" applyFill="1" applyBorder="1" applyAlignment="1">
      <alignment horizontal="left" vertical="center" wrapText="1"/>
    </xf>
    <xf numFmtId="0" fontId="2" fillId="5" borderId="0" xfId="0" applyFont="1" applyFill="1" applyAlignment="1">
      <alignment horizontal="left" vertical="center" wrapText="1"/>
    </xf>
    <xf numFmtId="0" fontId="0" fillId="8" borderId="0" xfId="0" applyFill="1" applyAlignment="1">
      <alignment horizontal="left" vertical="center"/>
    </xf>
    <xf numFmtId="0" fontId="7" fillId="0" borderId="1" xfId="0" applyFont="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center"/>
    </xf>
    <xf numFmtId="0" fontId="0" fillId="8" borderId="0" xfId="0" applyFill="1" applyAlignment="1">
      <alignment horizontal="left" vertical="center" wrapText="1"/>
    </xf>
    <xf numFmtId="0" fontId="0" fillId="4" borderId="5" xfId="0" applyFill="1" applyBorder="1" applyAlignment="1">
      <alignment horizontal="left" vertical="center" wrapText="1"/>
    </xf>
    <xf numFmtId="0" fontId="0" fillId="2" borderId="3"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5" xfId="0" applyFill="1" applyBorder="1" applyAlignment="1">
      <alignment horizontal="center" vertical="center" wrapText="1"/>
    </xf>
    <xf numFmtId="0" fontId="0" fillId="2" borderId="3" xfId="0" applyFill="1" applyBorder="1" applyAlignment="1">
      <alignment horizontal="left" vertical="center"/>
    </xf>
    <xf numFmtId="0" fontId="0" fillId="2" borderId="10" xfId="0" applyFill="1" applyBorder="1" applyAlignment="1">
      <alignment horizontal="left" vertical="center"/>
    </xf>
    <xf numFmtId="0" fontId="0" fillId="2" borderId="5" xfId="0" applyFill="1" applyBorder="1" applyAlignment="1">
      <alignment horizontal="left"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horizontal="center" vertical="center"/>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left" vertic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0" fillId="2" borderId="1" xfId="0" applyFill="1" applyBorder="1" applyAlignment="1">
      <alignment vertical="top" wrapText="1"/>
    </xf>
    <xf numFmtId="1" fontId="4" fillId="0" borderId="1" xfId="0" applyNumberFormat="1"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5" fillId="0" borderId="1" xfId="0" applyFont="1" applyBorder="1" applyAlignment="1">
      <alignment horizontal="center" vertical="center"/>
    </xf>
    <xf numFmtId="0" fontId="0" fillId="2" borderId="7" xfId="0"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421E8-A6D8-4A0A-9821-E5B340675D52}">
  <dimension ref="A1:I13"/>
  <sheetViews>
    <sheetView workbookViewId="0">
      <selection activeCell="A10" sqref="A10"/>
    </sheetView>
  </sheetViews>
  <sheetFormatPr baseColWidth="10" defaultColWidth="8.83203125" defaultRowHeight="15" x14ac:dyDescent="0.2"/>
  <cols>
    <col min="1" max="1" width="53" bestFit="1" customWidth="1"/>
    <col min="2" max="2" width="89.83203125" customWidth="1"/>
    <col min="3" max="3" width="10.5" customWidth="1"/>
    <col min="4" max="4" width="10.33203125" customWidth="1"/>
    <col min="9" max="9" width="11.5" customWidth="1"/>
  </cols>
  <sheetData>
    <row r="1" spans="1:9" ht="15" customHeight="1" x14ac:dyDescent="0.2">
      <c r="A1" s="40" t="s">
        <v>0</v>
      </c>
      <c r="B1" s="40" t="s">
        <v>41</v>
      </c>
      <c r="C1" s="43" t="s">
        <v>1</v>
      </c>
      <c r="D1" s="46" t="s">
        <v>2</v>
      </c>
      <c r="E1" s="47"/>
      <c r="F1" s="47"/>
      <c r="G1" s="47"/>
      <c r="H1" s="48"/>
      <c r="I1" s="37" t="s">
        <v>3</v>
      </c>
    </row>
    <row r="2" spans="1:9" x14ac:dyDescent="0.2">
      <c r="A2" s="41"/>
      <c r="B2" s="41"/>
      <c r="C2" s="44"/>
      <c r="D2" s="1" t="s">
        <v>4</v>
      </c>
      <c r="E2" s="1" t="s">
        <v>5</v>
      </c>
      <c r="F2" s="1">
        <v>2.2000000000000002</v>
      </c>
      <c r="G2" s="1">
        <v>2.1</v>
      </c>
      <c r="H2" s="1" t="s">
        <v>6</v>
      </c>
      <c r="I2" s="38"/>
    </row>
    <row r="3" spans="1:9" x14ac:dyDescent="0.2">
      <c r="A3" s="42"/>
      <c r="B3" s="42"/>
      <c r="C3" s="45"/>
      <c r="D3" s="1" t="s">
        <v>7</v>
      </c>
      <c r="E3" s="1" t="s">
        <v>8</v>
      </c>
      <c r="F3" s="1" t="s">
        <v>9</v>
      </c>
      <c r="G3" s="1" t="s">
        <v>10</v>
      </c>
      <c r="H3" s="1" t="s">
        <v>11</v>
      </c>
      <c r="I3" s="39"/>
    </row>
    <row r="4" spans="1:9" s="20" customFormat="1" ht="176" x14ac:dyDescent="0.2">
      <c r="A4" s="23" t="s">
        <v>42</v>
      </c>
      <c r="B4" s="24" t="s">
        <v>87</v>
      </c>
      <c r="C4" s="25">
        <v>15</v>
      </c>
      <c r="D4" s="21"/>
      <c r="E4" s="21"/>
      <c r="F4" s="21"/>
      <c r="G4" s="21"/>
      <c r="H4" s="21"/>
      <c r="I4" s="21">
        <f>SUM(D4:H4)*C4/100</f>
        <v>0</v>
      </c>
    </row>
    <row r="5" spans="1:9" s="20" customFormat="1" ht="176" x14ac:dyDescent="0.2">
      <c r="A5" s="18" t="s">
        <v>43</v>
      </c>
      <c r="B5" s="19" t="s">
        <v>88</v>
      </c>
      <c r="C5" s="18">
        <v>20</v>
      </c>
      <c r="D5" s="18"/>
      <c r="E5" s="18"/>
      <c r="F5" s="18"/>
      <c r="G5" s="18"/>
      <c r="H5" s="18"/>
      <c r="I5" s="18">
        <f>SUM(D5:H5)*C5/100</f>
        <v>0</v>
      </c>
    </row>
    <row r="6" spans="1:9" s="20" customFormat="1" ht="192" x14ac:dyDescent="0.2">
      <c r="A6" s="23" t="s">
        <v>47</v>
      </c>
      <c r="B6" s="24" t="s">
        <v>89</v>
      </c>
      <c r="C6" s="25">
        <v>15</v>
      </c>
      <c r="D6" s="21"/>
      <c r="E6" s="21"/>
      <c r="F6" s="21"/>
      <c r="G6" s="21"/>
      <c r="H6" s="21"/>
      <c r="I6" s="21">
        <f>SUM(D6:H6)*C6/100</f>
        <v>0</v>
      </c>
    </row>
    <row r="7" spans="1:9" s="20" customFormat="1" ht="176" x14ac:dyDescent="0.2">
      <c r="A7" s="18" t="s">
        <v>44</v>
      </c>
      <c r="B7" s="19" t="s">
        <v>90</v>
      </c>
      <c r="C7" s="18">
        <v>15</v>
      </c>
      <c r="D7" s="18"/>
      <c r="E7" s="18"/>
      <c r="F7" s="18"/>
      <c r="G7" s="18"/>
      <c r="H7" s="18"/>
      <c r="I7" s="18">
        <f>SUM(D7:H7)*C7/100</f>
        <v>0</v>
      </c>
    </row>
    <row r="8" spans="1:9" s="20" customFormat="1" ht="176" x14ac:dyDescent="0.2">
      <c r="A8" s="23" t="s">
        <v>45</v>
      </c>
      <c r="B8" s="24" t="s">
        <v>91</v>
      </c>
      <c r="C8" s="25">
        <v>15</v>
      </c>
      <c r="D8" s="21"/>
      <c r="E8" s="21"/>
      <c r="F8" s="21"/>
      <c r="G8" s="21"/>
      <c r="H8" s="21"/>
      <c r="I8" s="21">
        <f t="shared" ref="I8:I10" si="0">SUM(D8:H8)*C8/100</f>
        <v>0</v>
      </c>
    </row>
    <row r="9" spans="1:9" s="20" customFormat="1" ht="176" x14ac:dyDescent="0.2">
      <c r="A9" s="18" t="s">
        <v>48</v>
      </c>
      <c r="B9" s="19" t="s">
        <v>92</v>
      </c>
      <c r="C9" s="18">
        <v>10</v>
      </c>
      <c r="D9" s="18"/>
      <c r="E9" s="18"/>
      <c r="F9" s="18"/>
      <c r="G9" s="18"/>
      <c r="H9" s="18"/>
      <c r="I9" s="18">
        <f t="shared" si="0"/>
        <v>0</v>
      </c>
    </row>
    <row r="10" spans="1:9" s="20" customFormat="1" ht="176" x14ac:dyDescent="0.2">
      <c r="A10" s="23" t="s">
        <v>46</v>
      </c>
      <c r="B10" s="24" t="s">
        <v>93</v>
      </c>
      <c r="C10" s="25">
        <v>10</v>
      </c>
      <c r="D10" s="21"/>
      <c r="E10" s="21"/>
      <c r="F10" s="21"/>
      <c r="G10" s="21"/>
      <c r="H10" s="21"/>
      <c r="I10" s="21">
        <f t="shared" si="0"/>
        <v>0</v>
      </c>
    </row>
    <row r="11" spans="1:9" ht="16" x14ac:dyDescent="0.2">
      <c r="A11" s="3"/>
      <c r="B11" s="3"/>
      <c r="C11" s="3"/>
      <c r="D11" s="3"/>
      <c r="E11" s="3"/>
      <c r="F11" s="3"/>
      <c r="G11" s="3"/>
      <c r="H11" s="4" t="s">
        <v>12</v>
      </c>
      <c r="I11" s="2">
        <f>SUM(I4:I10)</f>
        <v>0</v>
      </c>
    </row>
    <row r="13" spans="1:9" x14ac:dyDescent="0.2">
      <c r="B13" s="16" t="s">
        <v>13</v>
      </c>
    </row>
  </sheetData>
  <mergeCells count="5">
    <mergeCell ref="I1:I3"/>
    <mergeCell ref="A1:A3"/>
    <mergeCell ref="B1:B3"/>
    <mergeCell ref="C1:C3"/>
    <mergeCell ref="D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C8F59-76E1-4361-87B7-B61BE25359C3}">
  <dimension ref="A1:I15"/>
  <sheetViews>
    <sheetView topLeftCell="A5" zoomScaleNormal="100" workbookViewId="0">
      <selection sqref="A1:B3"/>
    </sheetView>
  </sheetViews>
  <sheetFormatPr baseColWidth="10" defaultColWidth="8.83203125" defaultRowHeight="15" x14ac:dyDescent="0.2"/>
  <cols>
    <col min="1" max="1" width="42.5" style="20" bestFit="1" customWidth="1"/>
    <col min="2" max="2" width="89.83203125" style="20" customWidth="1"/>
    <col min="3" max="3" width="10.5" style="20" customWidth="1"/>
    <col min="4" max="4" width="10.33203125" style="20" customWidth="1"/>
    <col min="5" max="8" width="9.1640625" style="20"/>
    <col min="9" max="9" width="11.5" style="20" customWidth="1"/>
    <col min="10" max="16384" width="8.83203125" style="20"/>
  </cols>
  <sheetData>
    <row r="1" spans="1:9" ht="15" customHeight="1" x14ac:dyDescent="0.2">
      <c r="A1" s="50" t="s">
        <v>0</v>
      </c>
      <c r="B1" s="50" t="s">
        <v>41</v>
      </c>
      <c r="C1" s="49" t="s">
        <v>1</v>
      </c>
      <c r="D1" s="49" t="s">
        <v>2</v>
      </c>
      <c r="E1" s="49"/>
      <c r="F1" s="49"/>
      <c r="G1" s="49"/>
      <c r="H1" s="49"/>
      <c r="I1" s="49" t="s">
        <v>3</v>
      </c>
    </row>
    <row r="2" spans="1:9" ht="15" customHeight="1" x14ac:dyDescent="0.2">
      <c r="A2" s="50"/>
      <c r="B2" s="50"/>
      <c r="C2" s="49"/>
      <c r="D2" s="17" t="s">
        <v>4</v>
      </c>
      <c r="E2" s="17" t="s">
        <v>5</v>
      </c>
      <c r="F2" s="17">
        <v>2.2000000000000002</v>
      </c>
      <c r="G2" s="17">
        <v>2.1</v>
      </c>
      <c r="H2" s="17" t="s">
        <v>6</v>
      </c>
      <c r="I2" s="49"/>
    </row>
    <row r="3" spans="1:9" x14ac:dyDescent="0.2">
      <c r="A3" s="50"/>
      <c r="B3" s="50"/>
      <c r="C3" s="49"/>
      <c r="D3" s="17" t="s">
        <v>7</v>
      </c>
      <c r="E3" s="17" t="s">
        <v>8</v>
      </c>
      <c r="F3" s="17" t="s">
        <v>9</v>
      </c>
      <c r="G3" s="17" t="s">
        <v>10</v>
      </c>
      <c r="H3" s="17" t="s">
        <v>11</v>
      </c>
      <c r="I3" s="49"/>
    </row>
    <row r="4" spans="1:9" s="27" customFormat="1" ht="208" x14ac:dyDescent="0.2">
      <c r="A4" s="32" t="s">
        <v>36</v>
      </c>
      <c r="B4" s="24" t="s">
        <v>49</v>
      </c>
      <c r="C4" s="24">
        <v>10</v>
      </c>
      <c r="D4" s="32"/>
      <c r="E4" s="32"/>
      <c r="F4" s="32"/>
      <c r="G4" s="32"/>
      <c r="H4" s="32"/>
      <c r="I4" s="32">
        <f t="shared" ref="I4:I10" si="0">SUM(D4:H4)*C4/100</f>
        <v>0</v>
      </c>
    </row>
    <row r="5" spans="1:9" s="27" customFormat="1" ht="240" x14ac:dyDescent="0.2">
      <c r="A5" s="26" t="s">
        <v>37</v>
      </c>
      <c r="B5" s="26" t="s">
        <v>51</v>
      </c>
      <c r="C5" s="26">
        <v>25</v>
      </c>
      <c r="D5" s="26"/>
      <c r="E5" s="26"/>
      <c r="F5" s="26"/>
      <c r="G5" s="26"/>
      <c r="H5" s="26"/>
      <c r="I5" s="26">
        <f t="shared" si="0"/>
        <v>0</v>
      </c>
    </row>
    <row r="6" spans="1:9" s="27" customFormat="1" ht="256" x14ac:dyDescent="0.2">
      <c r="A6" s="32" t="s">
        <v>38</v>
      </c>
      <c r="B6" s="24" t="s">
        <v>52</v>
      </c>
      <c r="C6" s="24">
        <v>25</v>
      </c>
      <c r="D6" s="32"/>
      <c r="E6" s="32"/>
      <c r="F6" s="32"/>
      <c r="G6" s="32"/>
      <c r="H6" s="32"/>
      <c r="I6" s="32">
        <f t="shared" si="0"/>
        <v>0</v>
      </c>
    </row>
    <row r="7" spans="1:9" s="27" customFormat="1" ht="256" x14ac:dyDescent="0.2">
      <c r="A7" s="26" t="s">
        <v>39</v>
      </c>
      <c r="B7" s="26" t="s">
        <v>53</v>
      </c>
      <c r="C7" s="26">
        <v>10</v>
      </c>
      <c r="D7" s="26"/>
      <c r="E7" s="26"/>
      <c r="F7" s="26"/>
      <c r="G7" s="26"/>
      <c r="H7" s="26"/>
      <c r="I7" s="26">
        <f t="shared" si="0"/>
        <v>0</v>
      </c>
    </row>
    <row r="8" spans="1:9" s="27" customFormat="1" ht="240" x14ac:dyDescent="0.2">
      <c r="A8" s="32" t="s">
        <v>50</v>
      </c>
      <c r="B8" s="24" t="s">
        <v>54</v>
      </c>
      <c r="C8" s="24">
        <v>15</v>
      </c>
      <c r="D8" s="32"/>
      <c r="E8" s="32"/>
      <c r="F8" s="32"/>
      <c r="G8" s="32"/>
      <c r="H8" s="32"/>
      <c r="I8" s="32">
        <f t="shared" si="0"/>
        <v>0</v>
      </c>
    </row>
    <row r="9" spans="1:9" s="27" customFormat="1" ht="240" x14ac:dyDescent="0.2">
      <c r="A9" s="26" t="s">
        <v>56</v>
      </c>
      <c r="B9" s="26" t="s">
        <v>55</v>
      </c>
      <c r="C9" s="26">
        <v>10</v>
      </c>
      <c r="D9" s="26"/>
      <c r="E9" s="26"/>
      <c r="F9" s="26"/>
      <c r="G9" s="26"/>
      <c r="H9" s="26"/>
      <c r="I9" s="26">
        <f t="shared" si="0"/>
        <v>0</v>
      </c>
    </row>
    <row r="10" spans="1:9" s="27" customFormat="1" ht="272" x14ac:dyDescent="0.2">
      <c r="A10" s="32" t="s">
        <v>40</v>
      </c>
      <c r="B10" s="24" t="s">
        <v>57</v>
      </c>
      <c r="C10" s="24">
        <v>5</v>
      </c>
      <c r="D10" s="29"/>
      <c r="E10" s="29"/>
      <c r="F10" s="29"/>
      <c r="G10" s="29"/>
      <c r="H10" s="29"/>
      <c r="I10" s="32">
        <f t="shared" si="0"/>
        <v>0</v>
      </c>
    </row>
    <row r="11" spans="1:9" ht="16" x14ac:dyDescent="0.2">
      <c r="A11" s="33"/>
      <c r="B11" s="33"/>
      <c r="C11" s="33"/>
      <c r="D11" s="33"/>
      <c r="E11" s="33"/>
      <c r="F11" s="33"/>
      <c r="G11" s="33"/>
      <c r="H11" s="33" t="s">
        <v>12</v>
      </c>
      <c r="I11" s="34">
        <f>SUM(I4:I10)</f>
        <v>0</v>
      </c>
    </row>
    <row r="13" spans="1:9" x14ac:dyDescent="0.2">
      <c r="B13" s="31" t="s">
        <v>14</v>
      </c>
    </row>
    <row r="15" spans="1:9" x14ac:dyDescent="0.2">
      <c r="B15" s="27"/>
    </row>
  </sheetData>
  <mergeCells count="5">
    <mergeCell ref="D1:H1"/>
    <mergeCell ref="C1:C3"/>
    <mergeCell ref="B1:B3"/>
    <mergeCell ref="I1:I3"/>
    <mergeCell ref="A1:A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E4A2E-ACC2-45D0-A7A9-AC7EAC8D4ED3}">
  <dimension ref="A1:J15"/>
  <sheetViews>
    <sheetView topLeftCell="A4" workbookViewId="0">
      <selection activeCell="I1" sqref="I1:I3"/>
    </sheetView>
  </sheetViews>
  <sheetFormatPr baseColWidth="10" defaultColWidth="8.83203125" defaultRowHeight="15" x14ac:dyDescent="0.2"/>
  <cols>
    <col min="1" max="1" width="42.1640625" style="27" bestFit="1" customWidth="1"/>
    <col min="2" max="2" width="89.83203125" style="27" customWidth="1"/>
    <col min="3" max="3" width="10.5" style="27" customWidth="1"/>
    <col min="4" max="4" width="10.33203125" style="27" customWidth="1"/>
    <col min="5" max="8" width="8.83203125" style="27"/>
    <col min="9" max="9" width="11.5" style="27" customWidth="1"/>
    <col min="10" max="16384" width="8.83203125" style="27"/>
  </cols>
  <sheetData>
    <row r="1" spans="1:10" x14ac:dyDescent="0.2">
      <c r="A1" s="49" t="s">
        <v>0</v>
      </c>
      <c r="B1" s="49" t="s">
        <v>41</v>
      </c>
      <c r="C1" s="49" t="s">
        <v>1</v>
      </c>
      <c r="D1" s="49" t="s">
        <v>2</v>
      </c>
      <c r="E1" s="49"/>
      <c r="F1" s="49"/>
      <c r="G1" s="49"/>
      <c r="H1" s="49"/>
      <c r="I1" s="49" t="s">
        <v>3</v>
      </c>
    </row>
    <row r="2" spans="1:10" ht="16" x14ac:dyDescent="0.2">
      <c r="A2" s="49"/>
      <c r="B2" s="49"/>
      <c r="C2" s="49"/>
      <c r="D2" s="26" t="s">
        <v>4</v>
      </c>
      <c r="E2" s="26" t="s">
        <v>5</v>
      </c>
      <c r="F2" s="26">
        <v>2.2000000000000002</v>
      </c>
      <c r="G2" s="26">
        <v>2.1</v>
      </c>
      <c r="H2" s="26" t="s">
        <v>6</v>
      </c>
      <c r="I2" s="49"/>
    </row>
    <row r="3" spans="1:10" ht="16" x14ac:dyDescent="0.2">
      <c r="A3" s="49"/>
      <c r="B3" s="49"/>
      <c r="C3" s="49"/>
      <c r="D3" s="26" t="s">
        <v>7</v>
      </c>
      <c r="E3" s="26" t="s">
        <v>8</v>
      </c>
      <c r="F3" s="26" t="s">
        <v>9</v>
      </c>
      <c r="G3" s="26" t="s">
        <v>10</v>
      </c>
      <c r="H3" s="26" t="s">
        <v>11</v>
      </c>
      <c r="I3" s="49"/>
    </row>
    <row r="4" spans="1:10" ht="335" x14ac:dyDescent="0.2">
      <c r="A4" s="28" t="s">
        <v>58</v>
      </c>
      <c r="B4" s="22" t="s">
        <v>66</v>
      </c>
      <c r="C4" s="22">
        <v>10</v>
      </c>
      <c r="D4" s="29"/>
      <c r="E4" s="29"/>
      <c r="F4" s="29"/>
      <c r="G4" s="29"/>
      <c r="H4" s="29"/>
      <c r="I4" s="29">
        <f t="shared" ref="I4:I11" si="0">SUM(D4:H4)*C4/100</f>
        <v>0</v>
      </c>
    </row>
    <row r="5" spans="1:10" ht="409.6" x14ac:dyDescent="0.2">
      <c r="A5" s="19" t="s">
        <v>59</v>
      </c>
      <c r="B5" s="19" t="s">
        <v>67</v>
      </c>
      <c r="C5" s="19">
        <v>15</v>
      </c>
      <c r="D5" s="19"/>
      <c r="E5" s="19"/>
      <c r="F5" s="19"/>
      <c r="G5" s="19"/>
      <c r="H5" s="19"/>
      <c r="I5" s="19">
        <f t="shared" si="0"/>
        <v>0</v>
      </c>
    </row>
    <row r="6" spans="1:10" ht="395" x14ac:dyDescent="0.2">
      <c r="A6" s="28" t="s">
        <v>60</v>
      </c>
      <c r="B6" s="22" t="s">
        <v>68</v>
      </c>
      <c r="C6" s="22">
        <v>10</v>
      </c>
      <c r="D6" s="29"/>
      <c r="E6" s="29"/>
      <c r="F6" s="29"/>
      <c r="G6" s="29"/>
      <c r="H6" s="29"/>
      <c r="I6" s="29">
        <f t="shared" si="0"/>
        <v>0</v>
      </c>
      <c r="J6" s="28"/>
    </row>
    <row r="7" spans="1:10" ht="409.6" x14ac:dyDescent="0.2">
      <c r="A7" s="19" t="s">
        <v>61</v>
      </c>
      <c r="B7" s="19" t="s">
        <v>69</v>
      </c>
      <c r="C7" s="19">
        <v>15</v>
      </c>
      <c r="D7" s="19"/>
      <c r="E7" s="19"/>
      <c r="F7" s="19"/>
      <c r="G7" s="19"/>
      <c r="H7" s="19"/>
      <c r="I7" s="19">
        <f t="shared" si="0"/>
        <v>0</v>
      </c>
    </row>
    <row r="8" spans="1:10" ht="409.6" x14ac:dyDescent="0.2">
      <c r="A8" s="28" t="s">
        <v>62</v>
      </c>
      <c r="B8" s="22" t="s">
        <v>70</v>
      </c>
      <c r="C8" s="22">
        <v>20</v>
      </c>
      <c r="D8" s="29"/>
      <c r="E8" s="29"/>
      <c r="F8" s="29"/>
      <c r="G8" s="29"/>
      <c r="H8" s="29"/>
      <c r="I8" s="29">
        <f t="shared" si="0"/>
        <v>0</v>
      </c>
    </row>
    <row r="9" spans="1:10" ht="408" customHeight="1" x14ac:dyDescent="0.2">
      <c r="A9" s="19" t="s">
        <v>63</v>
      </c>
      <c r="B9" s="19" t="s">
        <v>71</v>
      </c>
      <c r="C9" s="19">
        <v>10</v>
      </c>
      <c r="D9" s="19"/>
      <c r="E9" s="19"/>
      <c r="F9" s="19"/>
      <c r="G9" s="19"/>
      <c r="H9" s="19"/>
      <c r="I9" s="19">
        <f t="shared" si="0"/>
        <v>0</v>
      </c>
    </row>
    <row r="10" spans="1:10" ht="383" customHeight="1" x14ac:dyDescent="0.2">
      <c r="A10" s="28" t="s">
        <v>64</v>
      </c>
      <c r="B10" s="22" t="s">
        <v>72</v>
      </c>
      <c r="C10" s="22">
        <v>10</v>
      </c>
      <c r="D10" s="29"/>
      <c r="E10" s="29"/>
      <c r="F10" s="29"/>
      <c r="G10" s="29"/>
      <c r="H10" s="29"/>
      <c r="I10" s="29">
        <f t="shared" si="0"/>
        <v>0</v>
      </c>
    </row>
    <row r="11" spans="1:10" ht="409" customHeight="1" x14ac:dyDescent="0.2">
      <c r="A11" s="19" t="s">
        <v>65</v>
      </c>
      <c r="B11" s="19" t="s">
        <v>73</v>
      </c>
      <c r="C11" s="19">
        <v>10</v>
      </c>
      <c r="D11" s="19"/>
      <c r="E11" s="19"/>
      <c r="F11" s="19"/>
      <c r="G11" s="19"/>
      <c r="H11" s="19"/>
      <c r="I11" s="19">
        <f t="shared" si="0"/>
        <v>0</v>
      </c>
    </row>
    <row r="12" spans="1:10" ht="16" x14ac:dyDescent="0.2">
      <c r="A12" s="30"/>
      <c r="B12" s="30"/>
      <c r="C12" s="30"/>
      <c r="D12" s="30"/>
      <c r="E12" s="30"/>
      <c r="F12" s="30"/>
      <c r="G12" s="30"/>
      <c r="H12" s="30" t="s">
        <v>12</v>
      </c>
      <c r="I12" s="30">
        <f>SUM(I4:I11)</f>
        <v>0</v>
      </c>
    </row>
    <row r="15" spans="1:10" ht="16" x14ac:dyDescent="0.2">
      <c r="B15" s="35" t="s">
        <v>15</v>
      </c>
    </row>
  </sheetData>
  <mergeCells count="5">
    <mergeCell ref="B1:B3"/>
    <mergeCell ref="C1:C3"/>
    <mergeCell ref="D1:H1"/>
    <mergeCell ref="I1:I3"/>
    <mergeCell ref="A1:A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C3019-E58F-43F3-AA4E-203C2A829039}">
  <dimension ref="A1:I12"/>
  <sheetViews>
    <sheetView tabSelected="1" topLeftCell="A8" workbookViewId="0">
      <selection activeCell="A6" sqref="A6"/>
    </sheetView>
  </sheetViews>
  <sheetFormatPr baseColWidth="10" defaultColWidth="8.83203125" defaultRowHeight="15" x14ac:dyDescent="0.2"/>
  <cols>
    <col min="1" max="1" width="33.33203125" style="27" bestFit="1" customWidth="1"/>
    <col min="2" max="2" width="89.83203125" style="27" customWidth="1"/>
    <col min="3" max="3" width="10.5" style="27" customWidth="1"/>
    <col min="4" max="4" width="10.33203125" style="27" customWidth="1"/>
    <col min="5" max="8" width="8.83203125" style="27"/>
    <col min="9" max="9" width="11.5" style="27" customWidth="1"/>
    <col min="10" max="16384" width="8.83203125" style="27"/>
  </cols>
  <sheetData>
    <row r="1" spans="1:9" x14ac:dyDescent="0.2">
      <c r="A1" s="49" t="s">
        <v>0</v>
      </c>
      <c r="B1" s="49" t="s">
        <v>41</v>
      </c>
      <c r="C1" s="49" t="s">
        <v>1</v>
      </c>
      <c r="D1" s="49" t="s">
        <v>2</v>
      </c>
      <c r="E1" s="49"/>
      <c r="F1" s="49"/>
      <c r="G1" s="49"/>
      <c r="H1" s="49"/>
      <c r="I1" s="49" t="s">
        <v>3</v>
      </c>
    </row>
    <row r="2" spans="1:9" ht="16" x14ac:dyDescent="0.2">
      <c r="A2" s="49"/>
      <c r="B2" s="49"/>
      <c r="C2" s="49"/>
      <c r="D2" s="26" t="s">
        <v>4</v>
      </c>
      <c r="E2" s="26" t="s">
        <v>5</v>
      </c>
      <c r="F2" s="26">
        <v>2.2000000000000002</v>
      </c>
      <c r="G2" s="26">
        <v>2.1</v>
      </c>
      <c r="H2" s="26" t="s">
        <v>6</v>
      </c>
      <c r="I2" s="49"/>
    </row>
    <row r="3" spans="1:9" ht="16" x14ac:dyDescent="0.2">
      <c r="A3" s="49"/>
      <c r="B3" s="49"/>
      <c r="C3" s="49"/>
      <c r="D3" s="26" t="s">
        <v>7</v>
      </c>
      <c r="E3" s="26" t="s">
        <v>8</v>
      </c>
      <c r="F3" s="26" t="s">
        <v>9</v>
      </c>
      <c r="G3" s="26" t="s">
        <v>10</v>
      </c>
      <c r="H3" s="26" t="s">
        <v>11</v>
      </c>
      <c r="I3" s="49"/>
    </row>
    <row r="4" spans="1:9" ht="408" customHeight="1" x14ac:dyDescent="0.2">
      <c r="A4" s="32" t="s">
        <v>74</v>
      </c>
      <c r="B4" s="24" t="s">
        <v>80</v>
      </c>
      <c r="C4" s="24">
        <v>20</v>
      </c>
      <c r="D4" s="32"/>
      <c r="E4" s="24"/>
      <c r="F4" s="24"/>
      <c r="G4" s="32"/>
      <c r="H4" s="24"/>
      <c r="I4" s="29">
        <f>SUM(D4:H4)*C4/100</f>
        <v>0</v>
      </c>
    </row>
    <row r="5" spans="1:9" ht="409.6" x14ac:dyDescent="0.2">
      <c r="A5" s="26" t="s">
        <v>75</v>
      </c>
      <c r="B5" s="26" t="s">
        <v>81</v>
      </c>
      <c r="C5" s="26">
        <v>15</v>
      </c>
      <c r="D5" s="26"/>
      <c r="E5" s="26"/>
      <c r="F5" s="26"/>
      <c r="G5" s="26"/>
      <c r="H5" s="26"/>
      <c r="I5" s="26">
        <f>SUM(D5:H5)*C5/100</f>
        <v>0</v>
      </c>
    </row>
    <row r="6" spans="1:9" ht="408" customHeight="1" x14ac:dyDescent="0.2">
      <c r="A6" s="32" t="s">
        <v>76</v>
      </c>
      <c r="B6" s="24" t="s">
        <v>82</v>
      </c>
      <c r="C6" s="24">
        <v>25</v>
      </c>
      <c r="D6" s="32"/>
      <c r="E6" s="24"/>
      <c r="F6" s="24"/>
      <c r="G6" s="32"/>
      <c r="H6" s="24"/>
      <c r="I6" s="29">
        <f>SUM(D6:H6)*C6/100</f>
        <v>0</v>
      </c>
    </row>
    <row r="7" spans="1:9" ht="409.6" x14ac:dyDescent="0.2">
      <c r="A7" s="26" t="s">
        <v>77</v>
      </c>
      <c r="B7" s="26" t="s">
        <v>83</v>
      </c>
      <c r="C7" s="26">
        <v>15</v>
      </c>
      <c r="D7" s="26"/>
      <c r="E7" s="26"/>
      <c r="F7" s="26"/>
      <c r="G7" s="26"/>
      <c r="H7" s="26"/>
      <c r="I7" s="26">
        <f t="shared" ref="I7" si="0">SUM(D7:H7)*C7/100</f>
        <v>0</v>
      </c>
    </row>
    <row r="8" spans="1:9" ht="408" customHeight="1" x14ac:dyDescent="0.2">
      <c r="A8" s="32" t="s">
        <v>78</v>
      </c>
      <c r="B8" s="24" t="s">
        <v>84</v>
      </c>
      <c r="C8" s="24">
        <v>15</v>
      </c>
      <c r="D8" s="32"/>
      <c r="E8" s="24"/>
      <c r="F8" s="24"/>
      <c r="G8" s="32"/>
      <c r="H8" s="24"/>
      <c r="I8" s="29">
        <f>SUM(D8:H8)*C8/100</f>
        <v>0</v>
      </c>
    </row>
    <row r="9" spans="1:9" ht="409.6" x14ac:dyDescent="0.2">
      <c r="A9" s="32" t="s">
        <v>79</v>
      </c>
      <c r="B9" s="24" t="s">
        <v>85</v>
      </c>
      <c r="C9" s="24">
        <v>10</v>
      </c>
      <c r="D9" s="29"/>
      <c r="E9" s="29"/>
      <c r="F9" s="29"/>
      <c r="G9" s="29"/>
      <c r="H9" s="29"/>
      <c r="I9" s="29">
        <f>SUM(D9:H9)*C9/100</f>
        <v>0</v>
      </c>
    </row>
    <row r="10" spans="1:9" ht="16" x14ac:dyDescent="0.2">
      <c r="A10" s="33"/>
      <c r="B10" s="33"/>
      <c r="C10" s="33"/>
      <c r="D10" s="33"/>
      <c r="E10" s="33"/>
      <c r="F10" s="33"/>
      <c r="G10" s="33"/>
      <c r="H10" s="33" t="s">
        <v>12</v>
      </c>
      <c r="I10" s="33">
        <f>SUM(I4:I9)</f>
        <v>0</v>
      </c>
    </row>
    <row r="11" spans="1:9" x14ac:dyDescent="0.2">
      <c r="I11" s="36"/>
    </row>
    <row r="12" spans="1:9" ht="16" x14ac:dyDescent="0.2">
      <c r="B12" s="35" t="s">
        <v>16</v>
      </c>
    </row>
  </sheetData>
  <mergeCells count="5">
    <mergeCell ref="B1:B3"/>
    <mergeCell ref="C1:C3"/>
    <mergeCell ref="D1:H1"/>
    <mergeCell ref="I1:I3"/>
    <mergeCell ref="A1: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490DC-4A19-4E85-B3FC-80FB38861BC6}">
  <dimension ref="A1:Q15"/>
  <sheetViews>
    <sheetView workbookViewId="0">
      <selection activeCell="F13" sqref="F13"/>
    </sheetView>
  </sheetViews>
  <sheetFormatPr baseColWidth="10" defaultColWidth="8.83203125" defaultRowHeight="15" x14ac:dyDescent="0.2"/>
  <cols>
    <col min="1" max="1" width="16.6640625" customWidth="1"/>
    <col min="2" max="2" width="27.1640625" customWidth="1"/>
    <col min="3" max="5" width="13" customWidth="1"/>
    <col min="6" max="6" width="17" customWidth="1"/>
    <col min="11" max="11" width="11.1640625" customWidth="1"/>
  </cols>
  <sheetData>
    <row r="1" spans="1:17" x14ac:dyDescent="0.2">
      <c r="A1" s="10" t="s">
        <v>17</v>
      </c>
      <c r="B1" s="5"/>
      <c r="C1" s="6" t="s">
        <v>18</v>
      </c>
      <c r="D1" s="6" t="s">
        <v>19</v>
      </c>
      <c r="E1" s="6" t="s">
        <v>20</v>
      </c>
      <c r="F1" s="6" t="s">
        <v>21</v>
      </c>
      <c r="G1" s="6" t="s">
        <v>12</v>
      </c>
      <c r="H1" s="7" t="s">
        <v>22</v>
      </c>
      <c r="I1" s="7" t="s">
        <v>23</v>
      </c>
      <c r="J1" s="7" t="s">
        <v>24</v>
      </c>
      <c r="K1" s="8" t="s">
        <v>25</v>
      </c>
    </row>
    <row r="2" spans="1:17" ht="15" customHeight="1" x14ac:dyDescent="0.2">
      <c r="A2" s="57" t="s">
        <v>26</v>
      </c>
      <c r="B2" s="9" t="s">
        <v>27</v>
      </c>
      <c r="C2" s="11"/>
      <c r="D2" s="12"/>
      <c r="E2" s="11"/>
      <c r="F2" s="11"/>
      <c r="G2" s="13">
        <f>SUM(C2:F2)</f>
        <v>0</v>
      </c>
      <c r="H2" s="61">
        <f>MIN(G3,G5)</f>
        <v>0</v>
      </c>
      <c r="I2" s="61">
        <f>MAX(G3,G5)</f>
        <v>0</v>
      </c>
      <c r="J2" s="61">
        <f>AVERAGE(H2:I5)</f>
        <v>0</v>
      </c>
      <c r="K2" s="56"/>
    </row>
    <row r="3" spans="1:17" ht="15.75" customHeight="1" x14ac:dyDescent="0.2">
      <c r="A3" s="58"/>
      <c r="B3" s="9" t="s">
        <v>28</v>
      </c>
      <c r="C3" s="9">
        <f>SUM(C2*15)</f>
        <v>0</v>
      </c>
      <c r="D3" s="9">
        <v>0</v>
      </c>
      <c r="E3" s="9">
        <f>SUM(E2*60)</f>
        <v>0</v>
      </c>
      <c r="F3" s="9">
        <f>SUM(F2*20)</f>
        <v>0</v>
      </c>
      <c r="G3" s="14">
        <f>SUM(C3:F3)</f>
        <v>0</v>
      </c>
      <c r="H3" s="61"/>
      <c r="I3" s="61"/>
      <c r="J3" s="61"/>
      <c r="K3" s="56"/>
    </row>
    <row r="4" spans="1:17" ht="15" customHeight="1" x14ac:dyDescent="0.2">
      <c r="A4" s="59" t="s">
        <v>29</v>
      </c>
      <c r="B4" s="9" t="s">
        <v>30</v>
      </c>
      <c r="C4" s="12"/>
      <c r="D4" s="11"/>
      <c r="E4" s="11"/>
      <c r="F4" s="11"/>
      <c r="G4" s="13">
        <f>SUM(C4:F4)</f>
        <v>0</v>
      </c>
      <c r="H4" s="61"/>
      <c r="I4" s="61"/>
      <c r="J4" s="61"/>
      <c r="K4" s="56"/>
    </row>
    <row r="5" spans="1:17" ht="15" customHeight="1" x14ac:dyDescent="0.2">
      <c r="A5" s="60"/>
      <c r="B5" s="9" t="s">
        <v>31</v>
      </c>
      <c r="C5" s="9">
        <f>C3</f>
        <v>0</v>
      </c>
      <c r="D5" s="9">
        <f>SUM(D4*5)</f>
        <v>0</v>
      </c>
      <c r="E5" s="9">
        <f>SUM(E4*60)</f>
        <v>0</v>
      </c>
      <c r="F5" s="9">
        <f>SUM(F4*20)</f>
        <v>0</v>
      </c>
      <c r="G5" s="14">
        <f>SUM(C5:F5)</f>
        <v>0</v>
      </c>
      <c r="H5" s="61"/>
      <c r="I5" s="61"/>
      <c r="J5" s="61"/>
      <c r="K5" s="56"/>
    </row>
    <row r="9" spans="1:17" x14ac:dyDescent="0.2">
      <c r="A9" t="s">
        <v>32</v>
      </c>
    </row>
    <row r="10" spans="1:17" x14ac:dyDescent="0.2">
      <c r="A10" s="62" t="s">
        <v>33</v>
      </c>
      <c r="B10" s="63"/>
      <c r="C10" s="64"/>
      <c r="D10" s="51" t="s">
        <v>34</v>
      </c>
      <c r="E10" s="52"/>
      <c r="F10" s="52"/>
      <c r="G10" s="52"/>
      <c r="H10" s="53"/>
      <c r="I10" s="15"/>
      <c r="J10" s="51" t="s">
        <v>35</v>
      </c>
      <c r="K10" s="52"/>
      <c r="L10" s="52"/>
      <c r="M10" s="52"/>
      <c r="N10" s="52"/>
      <c r="O10" s="52"/>
      <c r="P10" s="52"/>
      <c r="Q10" s="53"/>
    </row>
    <row r="11" spans="1:17" ht="175.5" customHeight="1" x14ac:dyDescent="0.2">
      <c r="A11" s="55"/>
      <c r="B11" s="55"/>
      <c r="C11" s="55"/>
      <c r="D11" s="54"/>
      <c r="E11" s="54"/>
      <c r="F11" s="54"/>
      <c r="G11" s="54"/>
      <c r="H11" s="54"/>
      <c r="I11" s="15"/>
      <c r="J11" s="54"/>
      <c r="K11" s="54"/>
      <c r="L11" s="54"/>
      <c r="M11" s="54"/>
      <c r="N11" s="54"/>
      <c r="O11" s="54"/>
      <c r="P11" s="54"/>
      <c r="Q11" s="54"/>
    </row>
    <row r="13" spans="1:17" x14ac:dyDescent="0.2">
      <c r="A13" t="s">
        <v>86</v>
      </c>
    </row>
    <row r="14" spans="1:17" x14ac:dyDescent="0.2">
      <c r="A14" s="51" t="s">
        <v>35</v>
      </c>
      <c r="B14" s="52"/>
      <c r="C14" s="52"/>
      <c r="D14" s="52"/>
      <c r="E14" s="52"/>
      <c r="F14" s="52"/>
      <c r="G14" s="52"/>
      <c r="H14" s="53"/>
    </row>
    <row r="15" spans="1:17" ht="197" customHeight="1" x14ac:dyDescent="0.2">
      <c r="A15" s="54"/>
      <c r="B15" s="54"/>
      <c r="C15" s="54"/>
      <c r="D15" s="54"/>
      <c r="E15" s="54"/>
      <c r="F15" s="54"/>
      <c r="G15" s="54"/>
      <c r="H15" s="54"/>
    </row>
  </sheetData>
  <mergeCells count="14">
    <mergeCell ref="A14:H14"/>
    <mergeCell ref="A15:H15"/>
    <mergeCell ref="A11:C11"/>
    <mergeCell ref="K2:K5"/>
    <mergeCell ref="A2:A3"/>
    <mergeCell ref="A4:A5"/>
    <mergeCell ref="H2:H5"/>
    <mergeCell ref="I2:I5"/>
    <mergeCell ref="J2:J5"/>
    <mergeCell ref="D11:H11"/>
    <mergeCell ref="J11:Q11"/>
    <mergeCell ref="A10:C10"/>
    <mergeCell ref="D10:H10"/>
    <mergeCell ref="J10:Q1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428F9CDECC4643853267B48C633F7E" ma:contentTypeVersion="18" ma:contentTypeDescription="Create a new document." ma:contentTypeScope="" ma:versionID="0c243cc84fca1cf514968750ea88a866">
  <xsd:schema xmlns:xsd="http://www.w3.org/2001/XMLSchema" xmlns:xs="http://www.w3.org/2001/XMLSchema" xmlns:p="http://schemas.microsoft.com/office/2006/metadata/properties" xmlns:ns2="1f157798-ee37-4fee-ab80-0e47190d5edf" xmlns:ns3="fedb768c-753f-4eb3-baff-c714f345f6d1" targetNamespace="http://schemas.microsoft.com/office/2006/metadata/properties" ma:root="true" ma:fieldsID="e3c7cf18cdfef032c6274038d5e1702d" ns2:_="" ns3:_="">
    <xsd:import namespace="1f157798-ee37-4fee-ab80-0e47190d5edf"/>
    <xsd:import namespace="fedb768c-753f-4eb3-baff-c714f345f6d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157798-ee37-4fee-ab80-0e47190d5e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cf899cb-71e2-46ef-a615-d71c02f3770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b768c-753f-4eb3-baff-c714f345f6d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11634af-dfec-4209-b2e8-b1f1016e3261}" ma:internalName="TaxCatchAll" ma:showField="CatchAllData" ma:web="fedb768c-753f-4eb3-baff-c714f345f6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b768c-753f-4eb3-baff-c714f345f6d1" xsi:nil="true"/>
    <lcf76f155ced4ddcb4097134ff3c332f xmlns="1f157798-ee37-4fee-ab80-0e47190d5ed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3D4BA9-9D87-4FB5-95DD-6CC88D004680}">
  <ds:schemaRefs>
    <ds:schemaRef ds:uri="http://schemas.microsoft.com/sharepoint/v3/contenttype/forms"/>
  </ds:schemaRefs>
</ds:datastoreItem>
</file>

<file path=customXml/itemProps2.xml><?xml version="1.0" encoding="utf-8"?>
<ds:datastoreItem xmlns:ds="http://schemas.openxmlformats.org/officeDocument/2006/customXml" ds:itemID="{08643E2E-A67B-484B-8272-F3C8F28969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157798-ee37-4fee-ab80-0e47190d5edf"/>
    <ds:schemaRef ds:uri="fedb768c-753f-4eb3-baff-c714f345f6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205D23-D7DB-44B7-B11D-063622F2D089}">
  <ds:schemaRefs>
    <ds:schemaRef ds:uri="http://schemas.microsoft.com/office/2006/metadata/properties"/>
    <ds:schemaRef ds:uri="http://schemas.microsoft.com/office/infopath/2007/PartnerControls"/>
    <ds:schemaRef ds:uri="fedb768c-753f-4eb3-baff-c714f345f6d1"/>
    <ds:schemaRef ds:uri="1f157798-ee37-4fee-ab80-0e47190d5edf"/>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Proposal</vt:lpstr>
      <vt:lpstr>MPR</vt:lpstr>
      <vt:lpstr>Report</vt:lpstr>
      <vt:lpstr>Presentation</vt:lpstr>
      <vt:lpstr>Reconcile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Kelvin Hilton</dc:creator>
  <cp:keywords/>
  <dc:description/>
  <cp:lastModifiedBy>Guhanathan Poravi</cp:lastModifiedBy>
  <cp:revision/>
  <dcterms:created xsi:type="dcterms:W3CDTF">2021-09-11T17:59:28Z</dcterms:created>
  <dcterms:modified xsi:type="dcterms:W3CDTF">2025-10-28T08:47:42Z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0x0101003D428F9CDECC4643853267B48C633F7E</vt:lpwstr>
  </property>
  <property fmtid="{D5CDD505-2E9C-101B-9397-08002B2CF9AE}" pid="3" name="MediaServiceImageTags">
    <vt:lpwstr/>
  </property>
</Properties>
</file>